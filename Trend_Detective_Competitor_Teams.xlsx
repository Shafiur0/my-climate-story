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ompeting Teams" sheetId="2" state="visible" r:id="rId4"/>
    <sheet name="Patterns &amp; Gaps" sheetId="3" state="visible" r:id="rId5"/>
  </sheets>
  <definedNames>
    <definedName function="false" hidden="true" localSheetId="1" name="_xlnm._FilterDatabase" vbProcedure="false">'Competing Teams'!$A$1:$K$11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<sst xmlns="http://schemas.openxmlformats.org/spreadsheetml/2006/main" count="161" uniqueCount="119">
  <si>
    <t xml:space="preserve">Metric</t>
  </si>
  <si>
    <t xml:space="preserve">Count</t>
  </si>
  <si>
    <t xml:space="preserve">Share of teams found</t>
  </si>
  <si>
    <t xml:space="preserve">Teams / projects found</t>
  </si>
  <si>
    <t xml:space="preserve">Bangladesh-focused (Yes)</t>
  </si>
  <si>
    <t xml:space="preserve">Bangladesh focus not stated</t>
  </si>
  <si>
    <t xml:space="preserve">Mention Mann-Kendall</t>
  </si>
  <si>
    <t xml:space="preserve">Mention plain-language explanation (Yes)</t>
  </si>
  <si>
    <t xml:space="preserve">Mention satellite before/after imagery</t>
  </si>
  <si>
    <t xml:space="preserve">Mention low-bandwidth design</t>
  </si>
  <si>
    <t xml:space="preserve">Notes</t>
  </si>
  <si>
    <t xml:space="preserve">Source: public GitHub repositories and one YouTube channel found by web search on 21 Oct 2026.</t>
  </si>
  <si>
    <t xml:space="preserve">This is NOT the full list of teams: the official Space Apps site could not be opened, and most teams have nothing public.</t>
  </si>
  <si>
    <t xml:space="preserve">Many entries are early prototypes. Descriptions come from README text; features not written there may still exist.</t>
  </si>
  <si>
    <t xml:space="preserve">TerraBangla details come from the video description you pasted; the video itself was not watched.</t>
  </si>
  <si>
    <t xml:space="preserve">"Not mentioned" means absent from the description found, not proof that the feature is missing.</t>
  </si>
  <si>
    <t xml:space="preserve">Final submissions open 14-15 November 2026; the competitor picture will change.</t>
  </si>
  <si>
    <t xml:space="preserve">#</t>
  </si>
  <si>
    <t xml:space="preserve">Team / Project</t>
  </si>
  <si>
    <t xml:space="preserve">Link</t>
  </si>
  <si>
    <t xml:space="preserve">What it does (বর্ণনা)</t>
  </si>
  <si>
    <t xml:space="preserve">Tech / data</t>
  </si>
  <si>
    <t xml:space="preserve">Status</t>
  </si>
  <si>
    <t xml:space="preserve">Bangladesh focus</t>
  </si>
  <si>
    <t xml:space="preserve">Statistical method mentioned</t>
  </si>
  <si>
    <t xml:space="preserve">Plain-language explanation mentioned</t>
  </si>
  <si>
    <t xml:space="preserve">Satellite before/after imagery mentioned</t>
  </si>
  <si>
    <t xml:space="preserve">Low-bandwidth design mentioned</t>
  </si>
  <si>
    <t xml:space="preserve">TerraBangla (MEC TERRA_DETECTORS)</t>
  </si>
  <si>
    <t xml:space="preserve">https://www.youtube.com/@TEAM_NEWBIES</t>
  </si>
  <si>
    <t xml:space="preserve">৬৪ জেলা, ৩ডি গ্লোব, দুই জেলা বা দুই ভ্যারিয়েবলের তুলনা, কিডস সেকশন, বাংলা-ইংরেজি</t>
  </si>
  <si>
    <t xml:space="preserve">NASA POWER, MODIS/VIIRS; React, TypeScript, Three.js, FastAPI, Vercel</t>
  </si>
  <si>
    <t xml:space="preserve">240s video published (based on the description you pasted; video not watched)</t>
  </si>
  <si>
    <t xml:space="preserve">Yes</t>
  </si>
  <si>
    <t xml:space="preserve">Mann-Kendall + Theil-Sen</t>
  </si>
  <si>
    <t xml:space="preserve">Not mentioned</t>
  </si>
  <si>
    <t xml:space="preserve">Orion Space</t>
  </si>
  <si>
    <t xml:space="preserve">https://github.com/nabeulislam/Nasa_Space_APP_Challenge</t>
  </si>
  <si>
    <t xml:space="preserve">বাংলাদেশ ২০০১-২০২৫, বহু ভ্যারিয়েবলের পারস্পরিক সম্পর্ক, ৩৪ গ্রিড সেলের ট্রেন্ড, প্রশ্ন লিখে উত্তর পাওয়ার সুবিধা</t>
  </si>
  <si>
    <t xml:space="preserve">NASA GSFC and LaRC data, geoBoundaries; Python, FastAPI, React 19, Vite</t>
  </si>
  <si>
    <t xml:space="preserve">Well-documented README and API</t>
  </si>
  <si>
    <t xml:space="preserve">Trend + FDR (multiple-test correction)</t>
  </si>
  <si>
    <t xml:space="preserve">Natural-language query</t>
  </si>
  <si>
    <t xml:space="preserve">EarthScope</t>
  </si>
  <si>
    <t xml:space="preserve">https://github.com/SaifullahMnsur-Again/EarthScope</t>
  </si>
  <si>
    <t xml:space="preserve">ট্রেন্ড মানচিত্র, ডেটা কম থাকলে "অপর্যাপ্ত ডেটা" চিহ্নিত, ঋতু ও অটোকোরিলেশন যাচাই, CSV/GeoJSON রপ্তানি, ফোরকাস্ট ওভারলে</t>
  </si>
  <si>
    <t xml:space="preserve">NASA POWER Open API and other NASA Earth science datasets; Python</t>
  </si>
  <si>
    <t xml:space="preserve">Functional prototype, in active development</t>
  </si>
  <si>
    <t xml:space="preserve">Not stated</t>
  </si>
  <si>
    <t xml:space="preserve">Mann-Kendall</t>
  </si>
  <si>
    <t xml:space="preserve">EarthPulse (NovaCore)</t>
  </si>
  <si>
    <t xml:space="preserve">https://github.com/SalehSeam/EarthPulse---NASA-Earth-Data-Decoded</t>
  </si>
  <si>
    <t xml:space="preserve">NASA POWER থেকে ডেটা এনে যাচাই, ট্রেন্ড শনাক্ত, পরিবর্তনের পরিমাণ, তাৎপর্য পরীক্ষা, সহজ ভাষায় ব্যাখ্যা</t>
  </si>
  <si>
    <t xml:space="preserve">NASA POWER; web app</t>
  </si>
  <si>
    <t xml:space="preserve">Repository available</t>
  </si>
  <si>
    <t xml:space="preserve">Significance test (type not stated)</t>
  </si>
  <si>
    <t xml:space="preserve">ECHO EARTH</t>
  </si>
  <si>
    <t xml:space="preserve">https://github.com/shovon-vubon/echo-earth-nasa-space-apps-2026</t>
  </si>
  <si>
    <t xml:space="preserve">ট্রেন্ড বিশ্লেষণ + পরীক্ষামূলক দুর্যোগ ঝুঁকি বুদ্ধিমত্তা (পূর্বাভাস ও ভূখণ্ড ডেটা সহ)</t>
  </si>
  <si>
    <t xml:space="preserve">NASA open data; forecasts and terrain data</t>
  </si>
  <si>
    <t xml:space="preserve">Concept / early development</t>
  </si>
  <si>
    <t xml:space="preserve">Yes (Dhaka local event)</t>
  </si>
  <si>
    <t xml:space="preserve">Yes (evidence and explanation)</t>
  </si>
  <si>
    <t xml:space="preserve">Living Earth: Trend Detective</t>
  </si>
  <si>
    <t xml:space="preserve">https://github.com/yasar-sys/living-earth-trend-detective</t>
  </si>
  <si>
    <t xml:space="preserve">৩ডি গ্লোব, "Detective Cases" যেখানে একই প্রক্রিয়া বিভিন্ন অঞ্চলে উল্টো ট্রেন্ড কেন তৈরি করে তা ব্যাখ্যা</t>
  </si>
  <si>
    <t xml:space="preserve">React, TypeScript, Three.js, Tailwind, Vercel; planned NASA GISTEMP, NSIDC, NOAA data</t>
  </si>
  <si>
    <t xml:space="preserve">Prototype with placeholder data</t>
  </si>
  <si>
    <t xml:space="preserve">No (global)</t>
  </si>
  <si>
    <t xml:space="preserve">Yes (Detective Cases)</t>
  </si>
  <si>
    <t xml:space="preserve">TerraDetective AI</t>
  </si>
  <si>
    <t xml:space="preserve">https://github.com/rossycoder/terradetective-ai</t>
  </si>
  <si>
    <t xml:space="preserve">পৃথিবীর যেকোনো জায়গার ৪০ বছরের ডেটা, ওয়ার্মিং রেট (৯৫% আস্থা ব্যবধান ও p-value), অস্বাভাবিক বছর শনাক্ত, AI-লেখা প্রতিবেদন</t>
  </si>
  <si>
    <t xml:space="preserve">NASA POWER; Python (app/trend_ai.py)</t>
  </si>
  <si>
    <t xml:space="preserve">Working pipeline, PDF export planned</t>
  </si>
  <si>
    <t xml:space="preserve">Linear trend with 95% CI and p-value</t>
  </si>
  <si>
    <t xml:space="preserve">Yes (AI narrative)</t>
  </si>
  <si>
    <t xml:space="preserve">EarthTrend Detective Pro</t>
  </si>
  <si>
    <t xml:space="preserve">https://github.com/takiibneduha3-ux/earthtrend-detective</t>
  </si>
  <si>
    <t xml:space="preserve">ড্যাশবোর্ড: অঞ্চল ও সংকেত বাছাই, সময়সীমা, ট্রেন্ড সূচক, "প্রমাণ খাতা", JSON রপ্তানি</t>
  </si>
  <si>
    <t xml:space="preserve">Prototype; NASA datasets not yet connected</t>
  </si>
  <si>
    <t xml:space="preserve">Not stated (trend indicators)</t>
  </si>
  <si>
    <t xml:space="preserve">nasa-earth-detectives</t>
  </si>
  <si>
    <t xml:space="preserve">https://github.com/nasa-earth-detectives/nasa-earth-trend-detective</t>
  </si>
  <si>
    <t xml:space="preserve">৩ডি জিও-টেম্পোরাল বিশ্লেষণ প্ল্যাটফর্ম, ব্যাকএন্ড ও ফ্রন্টএন্ড সাবটিম</t>
  </si>
  <si>
    <t xml:space="preserve">.NET 10, DuckDB, React 19, Three.js, Docker</t>
  </si>
  <si>
    <t xml:space="preserve">Project structure and team roles</t>
  </si>
  <si>
    <t xml:space="preserve">The Selection Lab</t>
  </si>
  <si>
    <t xml:space="preserve">https://github.com/cpt9m0/trend-detective</t>
  </si>
  <si>
    <t xml:space="preserve">পাইথন স্টার্টার রিপো, NASA CMR-এ যাচাই করা ৮টি ডেটা রেকর্ডের শর্টলিস্ট</t>
  </si>
  <si>
    <t xml:space="preserve">Python (uv, notebooks); NASA CMR</t>
  </si>
  <si>
    <t xml:space="preserve">Starter scaffold</t>
  </si>
  <si>
    <t xml:space="preserve">Type</t>
  </si>
  <si>
    <t xml:space="preserve">Observation</t>
  </si>
  <si>
    <t xml:space="preserve">Evidence / confidence</t>
  </si>
  <si>
    <t xml:space="preserve">Pattern</t>
  </si>
  <si>
    <t xml:space="preserve">বাংলাদেশ ইতিমধ্যে ভিড়: শুধু "জেলাভিত্তিক ট্রেন্ড" দিয়ে আলাদা হওয়া কঠিন</t>
  </si>
  <si>
    <t xml:space="preserve">TerraBangla, Orion Space and ECHO EARTH are marked Bangladesh-focused in the Competing Teams sheet</t>
  </si>
  <si>
    <t xml:space="preserve">প্রায় সবার কমন: NASA POWER, Mann-Kendall বা লিনিয়ার ট্রেন্ড, মানচিত্র বা গ্লোব</t>
  </si>
  <si>
    <t xml:space="preserve">See the Statistical method and Tech columns</t>
  </si>
  <si>
    <t xml:space="preserve">ভারী ফ্রন্টএন্ড (৩ডি গ্লোব) ও ব্যাকএন্ড (FastAPI, .NET) ব্যবহার প্রচলিত</t>
  </si>
  <si>
    <t xml:space="preserve">TerraBangla, Living Earth, nasa-earth-detectives, Orion Space</t>
  </si>
  <si>
    <t xml:space="preserve">Correction</t>
  </si>
  <si>
    <t xml:space="preserve">"কেন" ব্যাখ্যা একা পার্থক্য নয়: কয়েকটি টিম সহজ ভাষার ব্যাখ্যা যোগ করছে। তবে ওরা সংখ্যার ব্যাখ্যা দিচ্ছে নাকি ভৌত কারণের, তা নিশ্চিত নই</t>
  </si>
  <si>
    <t xml:space="preserve">EarthPulse, TerraDetective AI, ECHO EARTH, Living Earth mention explanations; read their repos to compare depth</t>
  </si>
  <si>
    <t xml:space="preserve">Possible gap</t>
  </si>
  <si>
    <t xml:space="preserve">স্যাটেলাইট আগে-পরে ছবি (GIBS/Worldview)</t>
  </si>
  <si>
    <t xml:space="preserve">Not mentioned in any description found. Unverified: a project may have it without describing it</t>
  </si>
  <si>
    <t xml:space="preserve">মানুষের অভিজ্ঞতার সঙ্গে ডেটা মেলানো (ground truth)</t>
  </si>
  <si>
    <t xml:space="preserve">Not mentioned in any description found. Unverified</t>
  </si>
  <si>
    <t xml:space="preserve">ধীর ইন্টারনেটে চলার নকশা (স্ট্যাটিক JSON, ছোট ফাইল)</t>
  </si>
  <si>
    <t xml:space="preserve">Not mentioned; most teams use 3D globes and backends. Unverified</t>
  </si>
  <si>
    <t xml:space="preserve">একটি গভীর কেস স্টাডি (যেমন নদীর ভাঙন ও চর, বর্ষার সময়ের পরিবর্তন)</t>
  </si>
  <si>
    <t xml:space="preserve">Most teams aim for broad coverage of many variables and districts. Unverified</t>
  </si>
  <si>
    <t xml:space="preserve">Advice</t>
  </si>
  <si>
    <t xml:space="preserve">সব কিছু একসঙ্গে না করে একটি গল্প বেছে নিন যা ছবি, ডেটা ও মানুষের কথা দিয়ে বলা যায়</t>
  </si>
  <si>
    <t xml:space="preserve">Judgement based on the findings above</t>
  </si>
  <si>
    <t xml:space="preserve">অন্য টিমের কোড বা লেখা কপি করবেন না</t>
  </si>
  <si>
    <t xml:space="preserve">Hackathon integrity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</si>
</sst>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youtube.com/@TEAM_NEWBIES" TargetMode="External"/><Relationship Id="rId2" Type="http://schemas.openxmlformats.org/officeDocument/2006/relationships/hyperlink" Target="https://github.com/nabeulislam/Nasa_Space_APP_Challenge" TargetMode="External"/><Relationship Id="rId3" Type="http://schemas.openxmlformats.org/officeDocument/2006/relationships/hyperlink" Target="https://github.com/SaifullahMnsur-Again/EarthScope" TargetMode="External"/><Relationship Id="rId4" Type="http://schemas.openxmlformats.org/officeDocument/2006/relationships/hyperlink" Target="https://github.com/SalehSeam/EarthPulse---NASA-Earth-Data-Decoded" TargetMode="External"/><Relationship Id="rId5" Type="http://schemas.openxmlformats.org/officeDocument/2006/relationships/hyperlink" Target="https://github.com/shovon-vubon/echo-earth-nasa-space-apps-2026" TargetMode="External"/><Relationship Id="rId6" Type="http://schemas.openxmlformats.org/officeDocument/2006/relationships/hyperlink" Target="https://github.com/yasar-sys/living-earth-trend-detective" TargetMode="External"/><Relationship Id="rId7" Type="http://schemas.openxmlformats.org/officeDocument/2006/relationships/hyperlink" Target="https://github.com/rossycoder/terradetective-ai" TargetMode="External"/><Relationship Id="rId8" Type="http://schemas.openxmlformats.org/officeDocument/2006/relationships/hyperlink" Target="https://github.com/takiibneduha3-ux/earthtrend-detective" TargetMode="External"/><Relationship Id="rId9" Type="http://schemas.openxmlformats.org/officeDocument/2006/relationships/hyperlink" Target="https://github.com/nasa-earth-detectives/nasa-earth-trend-detective" TargetMode="External"/><Relationship Id="rId10" Type="http://schemas.openxmlformats.org/officeDocument/2006/relationships/hyperlink" Target="https://github.com/cpt9m0/trend-detective" TargetMode="External"/><Relationship Id="rId1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3" t="n">
        <f aca="false">COUNTA('Competing Teams'!B2:B11)</f>
        <v>10</v>
      </c>
      <c r="C2" s="4" t="n">
        <f aca="false">IF($B$2=0,0,B2/$B$2)</f>
        <v>1</v>
      </c>
    </row>
    <row r="3" customFormat="false" ht="15" hidden="false" customHeight="false" outlineLevel="0" collapsed="false">
      <c r="A3" s="2" t="s">
        <v>4</v>
      </c>
      <c r="B3" s="3" t="n">
        <f aca="false">COUNTIF('Competing Teams'!G2:G11,"Yes*")</f>
        <v>3</v>
      </c>
      <c r="C3" s="4" t="n">
        <f aca="false">IF($B$2=0,0,B3/$B$2)</f>
        <v>0.3</v>
      </c>
    </row>
    <row r="4" customFormat="false" ht="15" hidden="false" customHeight="false" outlineLevel="0" collapsed="false">
      <c r="A4" s="2" t="s">
        <v>5</v>
      </c>
      <c r="B4" s="3" t="n">
        <f aca="false">COUNTIF('Competing Teams'!G2:G11,"Not stated")</f>
        <v>5</v>
      </c>
      <c r="C4" s="4" t="n">
        <f aca="false">IF($B$2=0,0,B4/$B$2)</f>
        <v>0.5</v>
      </c>
    </row>
    <row r="5" customFormat="false" ht="15" hidden="false" customHeight="false" outlineLevel="0" collapsed="false">
      <c r="A5" s="2" t="s">
        <v>6</v>
      </c>
      <c r="B5" s="3" t="n">
        <f aca="false">COUNTIF('Competing Teams'!H2:H11,"*Mann-Kendall*")</f>
        <v>3</v>
      </c>
      <c r="C5" s="4" t="n">
        <f aca="false">IF($B$2=0,0,B5/$B$2)</f>
        <v>0.3</v>
      </c>
    </row>
    <row r="6" customFormat="false" ht="15" hidden="false" customHeight="false" outlineLevel="0" collapsed="false">
      <c r="A6" s="2" t="s">
        <v>7</v>
      </c>
      <c r="B6" s="3" t="n">
        <f aca="false">COUNTIF('Competing Teams'!I2:I11,"Yes*")</f>
        <v>4</v>
      </c>
      <c r="C6" s="4" t="n">
        <f aca="false">IF($B$2=0,0,B6/$B$2)</f>
        <v>0.4</v>
      </c>
    </row>
    <row r="7" customFormat="false" ht="15" hidden="false" customHeight="false" outlineLevel="0" collapsed="false">
      <c r="A7" s="2" t="s">
        <v>8</v>
      </c>
      <c r="B7" s="3" t="n">
        <f aca="false">COUNTIF('Competing Teams'!J2:J11,"Yes*")</f>
        <v>0</v>
      </c>
      <c r="C7" s="4" t="n">
        <f aca="false">IF($B$2=0,0,B7/$B$2)</f>
        <v>0</v>
      </c>
    </row>
    <row r="8" customFormat="false" ht="15" hidden="false" customHeight="false" outlineLevel="0" collapsed="false">
      <c r="A8" s="2" t="s">
        <v>9</v>
      </c>
      <c r="B8" s="3" t="n">
        <f aca="false">COUNTIF('Competing Teams'!K2:K11,"Yes*")</f>
        <v>0</v>
      </c>
      <c r="C8" s="4" t="n">
        <f aca="false">IF($B$2=0,0,B8/$B$2)</f>
        <v>0</v>
      </c>
    </row>
    <row r="10" customFormat="false" ht="15" hidden="false" customHeight="false" outlineLevel="0" collapsed="false">
      <c r="A10" s="5" t="s">
        <v>10</v>
      </c>
    </row>
    <row r="11" customFormat="false" ht="30" hidden="false" customHeight="true" outlineLevel="0" collapsed="false">
      <c r="A11" s="6" t="s">
        <v>11</v>
      </c>
      <c r="B11" s="6"/>
      <c r="C11" s="6"/>
    </row>
    <row r="12" customFormat="false" ht="30" hidden="false" customHeight="true" outlineLevel="0" collapsed="false">
      <c r="A12" s="6" t="s">
        <v>12</v>
      </c>
      <c r="B12" s="6"/>
      <c r="C12" s="6"/>
    </row>
    <row r="13" customFormat="false" ht="30" hidden="false" customHeight="true" outlineLevel="0" collapsed="false">
      <c r="A13" s="6" t="s">
        <v>13</v>
      </c>
      <c r="B13" s="6"/>
      <c r="C13" s="6"/>
    </row>
    <row r="14" customFormat="false" ht="30" hidden="false" customHeight="true" outlineLevel="0" collapsed="false">
      <c r="A14" s="6" t="s">
        <v>14</v>
      </c>
      <c r="B14" s="6"/>
      <c r="C14" s="6"/>
    </row>
    <row r="15" customFormat="false" ht="30" hidden="false" customHeight="true" outlineLevel="0" collapsed="false">
      <c r="A15" s="6" t="s">
        <v>15</v>
      </c>
      <c r="B15" s="6"/>
      <c r="C15" s="6"/>
    </row>
    <row r="16" customFormat="false" ht="30" hidden="false" customHeight="true" outlineLevel="0" collapsed="false">
      <c r="A16" s="6" t="s">
        <v>16</v>
      </c>
      <c r="B16" s="6"/>
      <c r="C16" s="6"/>
    </row>
  </sheetData>
  <mergeCells count="6">
    <mergeCell ref="A11:C11"/>
    <mergeCell ref="A12:C12"/>
    <mergeCell ref="A13:C13"/>
    <mergeCell ref="A14:C14"/>
    <mergeCell ref="A15:C15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42"/>
    <col collapsed="false" customWidth="true" hidden="false" outlineLevel="0" max="4" min="4" style="0" width="55"/>
    <col collapsed="false" customWidth="true" hidden="false" outlineLevel="0" max="5" min="5" style="0" width="42"/>
    <col collapsed="false" customWidth="true" hidden="false" outlineLevel="0" max="6" min="6" style="0" width="32"/>
    <col collapsed="false" customWidth="true" hidden="false" outlineLevel="0" max="7" min="7" style="0" width="20"/>
    <col collapsed="false" customWidth="true" hidden="false" outlineLevel="0" max="8" min="8" style="0" width="28"/>
    <col collapsed="false" customWidth="true" hidden="false" outlineLevel="0" max="9" min="9" style="0" width="26"/>
    <col collapsed="false" customWidth="true" hidden="false" outlineLevel="0" max="10" min="10" style="0" width="24"/>
    <col collapsed="false" customWidth="true" hidden="false" outlineLevel="0" max="11" min="11" style="0" width="22"/>
  </cols>
  <sheetData>
    <row r="1" customFormat="false" ht="45" hidden="false" customHeight="true" outlineLevel="0" collapsed="false">
      <c r="A1" s="7" t="s">
        <v>17</v>
      </c>
      <c r="B1" s="7" t="s">
        <v>18</v>
      </c>
      <c r="C1" s="7" t="s">
        <v>19</v>
      </c>
      <c r="D1" s="7" t="s">
        <v>20</v>
      </c>
      <c r="E1" s="7" t="s">
        <v>21</v>
      </c>
      <c r="F1" s="7" t="s">
        <v>22</v>
      </c>
      <c r="G1" s="7" t="s">
        <v>23</v>
      </c>
      <c r="H1" s="7" t="s">
        <v>24</v>
      </c>
      <c r="I1" s="7" t="s">
        <v>25</v>
      </c>
      <c r="J1" s="7" t="s">
        <v>26</v>
      </c>
      <c r="K1" s="7" t="s">
        <v>27</v>
      </c>
    </row>
    <row r="2" customFormat="false" ht="35.05" hidden="false" customHeight="false" outlineLevel="0" collapsed="false">
      <c r="A2" s="8" t="n">
        <v>1</v>
      </c>
      <c r="B2" s="9" t="s">
        <v>28</v>
      </c>
      <c r="C2" s="10" t="s">
        <v>29</v>
      </c>
      <c r="D2" s="9" t="s">
        <v>30</v>
      </c>
      <c r="E2" s="9" t="s">
        <v>31</v>
      </c>
      <c r="F2" s="9" t="s">
        <v>32</v>
      </c>
      <c r="G2" s="9" t="s">
        <v>33</v>
      </c>
      <c r="H2" s="9" t="s">
        <v>34</v>
      </c>
      <c r="I2" s="9" t="s">
        <v>35</v>
      </c>
      <c r="J2" s="9" t="s">
        <v>35</v>
      </c>
      <c r="K2" s="9" t="s">
        <v>35</v>
      </c>
    </row>
    <row r="3" customFormat="false" ht="23.85" hidden="false" customHeight="false" outlineLevel="0" collapsed="false">
      <c r="A3" s="8" t="n">
        <v>2</v>
      </c>
      <c r="B3" s="9" t="s">
        <v>36</v>
      </c>
      <c r="C3" s="10" t="s">
        <v>37</v>
      </c>
      <c r="D3" s="9" t="s">
        <v>38</v>
      </c>
      <c r="E3" s="9" t="s">
        <v>39</v>
      </c>
      <c r="F3" s="9" t="s">
        <v>40</v>
      </c>
      <c r="G3" s="9" t="s">
        <v>33</v>
      </c>
      <c r="H3" s="9" t="s">
        <v>41</v>
      </c>
      <c r="I3" s="9" t="s">
        <v>42</v>
      </c>
      <c r="J3" s="9" t="s">
        <v>35</v>
      </c>
      <c r="K3" s="9" t="s">
        <v>35</v>
      </c>
    </row>
    <row r="4" customFormat="false" ht="23.85" hidden="false" customHeight="false" outlineLevel="0" collapsed="false">
      <c r="A4" s="8" t="n">
        <v>3</v>
      </c>
      <c r="B4" s="9" t="s">
        <v>43</v>
      </c>
      <c r="C4" s="10" t="s">
        <v>44</v>
      </c>
      <c r="D4" s="9" t="s">
        <v>45</v>
      </c>
      <c r="E4" s="9" t="s">
        <v>46</v>
      </c>
      <c r="F4" s="9" t="s">
        <v>47</v>
      </c>
      <c r="G4" s="9" t="s">
        <v>48</v>
      </c>
      <c r="H4" s="9" t="s">
        <v>49</v>
      </c>
      <c r="I4" s="9" t="s">
        <v>35</v>
      </c>
      <c r="J4" s="9" t="s">
        <v>35</v>
      </c>
      <c r="K4" s="9" t="s">
        <v>35</v>
      </c>
    </row>
    <row r="5" customFormat="false" ht="23.85" hidden="false" customHeight="false" outlineLevel="0" collapsed="false">
      <c r="A5" s="8" t="n">
        <v>4</v>
      </c>
      <c r="B5" s="9" t="s">
        <v>50</v>
      </c>
      <c r="C5" s="10" t="s">
        <v>51</v>
      </c>
      <c r="D5" s="9" t="s">
        <v>52</v>
      </c>
      <c r="E5" s="9" t="s">
        <v>53</v>
      </c>
      <c r="F5" s="9" t="s">
        <v>54</v>
      </c>
      <c r="G5" s="9" t="s">
        <v>48</v>
      </c>
      <c r="H5" s="9" t="s">
        <v>55</v>
      </c>
      <c r="I5" s="9" t="s">
        <v>33</v>
      </c>
      <c r="J5" s="9" t="s">
        <v>35</v>
      </c>
      <c r="K5" s="9" t="s">
        <v>35</v>
      </c>
    </row>
    <row r="6" customFormat="false" ht="15" hidden="false" customHeight="false" outlineLevel="0" collapsed="false">
      <c r="A6" s="8" t="n">
        <v>5</v>
      </c>
      <c r="B6" s="9" t="s">
        <v>56</v>
      </c>
      <c r="C6" s="10" t="s">
        <v>57</v>
      </c>
      <c r="D6" s="9" t="s">
        <v>58</v>
      </c>
      <c r="E6" s="9" t="s">
        <v>59</v>
      </c>
      <c r="F6" s="9" t="s">
        <v>60</v>
      </c>
      <c r="G6" s="9" t="s">
        <v>61</v>
      </c>
      <c r="H6" s="9" t="s">
        <v>48</v>
      </c>
      <c r="I6" s="9" t="s">
        <v>62</v>
      </c>
      <c r="J6" s="9" t="s">
        <v>35</v>
      </c>
      <c r="K6" s="9" t="s">
        <v>35</v>
      </c>
    </row>
    <row r="7" customFormat="false" ht="23.85" hidden="false" customHeight="false" outlineLevel="0" collapsed="false">
      <c r="A7" s="8" t="n">
        <v>6</v>
      </c>
      <c r="B7" s="9" t="s">
        <v>63</v>
      </c>
      <c r="C7" s="10" t="s">
        <v>64</v>
      </c>
      <c r="D7" s="9" t="s">
        <v>65</v>
      </c>
      <c r="E7" s="9" t="s">
        <v>66</v>
      </c>
      <c r="F7" s="9" t="s">
        <v>67</v>
      </c>
      <c r="G7" s="9" t="s">
        <v>68</v>
      </c>
      <c r="H7" s="9" t="s">
        <v>49</v>
      </c>
      <c r="I7" s="9" t="s">
        <v>69</v>
      </c>
      <c r="J7" s="9" t="s">
        <v>35</v>
      </c>
      <c r="K7" s="9" t="s">
        <v>35</v>
      </c>
    </row>
    <row r="8" customFormat="false" ht="23.85" hidden="false" customHeight="false" outlineLevel="0" collapsed="false">
      <c r="A8" s="8" t="n">
        <v>7</v>
      </c>
      <c r="B8" s="9" t="s">
        <v>70</v>
      </c>
      <c r="C8" s="10" t="s">
        <v>71</v>
      </c>
      <c r="D8" s="9" t="s">
        <v>72</v>
      </c>
      <c r="E8" s="9" t="s">
        <v>73</v>
      </c>
      <c r="F8" s="9" t="s">
        <v>74</v>
      </c>
      <c r="G8" s="9" t="s">
        <v>68</v>
      </c>
      <c r="H8" s="9" t="s">
        <v>75</v>
      </c>
      <c r="I8" s="9" t="s">
        <v>76</v>
      </c>
      <c r="J8" s="9" t="s">
        <v>35</v>
      </c>
      <c r="K8" s="9" t="s">
        <v>35</v>
      </c>
    </row>
    <row r="9" customFormat="false" ht="23.85" hidden="false" customHeight="false" outlineLevel="0" collapsed="false">
      <c r="A9" s="8" t="n">
        <v>8</v>
      </c>
      <c r="B9" s="9" t="s">
        <v>77</v>
      </c>
      <c r="C9" s="10" t="s">
        <v>78</v>
      </c>
      <c r="D9" s="9" t="s">
        <v>79</v>
      </c>
      <c r="E9" s="9" t="s">
        <v>48</v>
      </c>
      <c r="F9" s="9" t="s">
        <v>80</v>
      </c>
      <c r="G9" s="9" t="s">
        <v>48</v>
      </c>
      <c r="H9" s="9" t="s">
        <v>81</v>
      </c>
      <c r="I9" s="9" t="s">
        <v>35</v>
      </c>
      <c r="J9" s="9" t="s">
        <v>35</v>
      </c>
      <c r="K9" s="9" t="s">
        <v>35</v>
      </c>
    </row>
    <row r="10" customFormat="false" ht="15" hidden="false" customHeight="false" outlineLevel="0" collapsed="false">
      <c r="A10" s="8" t="n">
        <v>9</v>
      </c>
      <c r="B10" s="9" t="s">
        <v>82</v>
      </c>
      <c r="C10" s="10" t="s">
        <v>83</v>
      </c>
      <c r="D10" s="9" t="s">
        <v>84</v>
      </c>
      <c r="E10" s="9" t="s">
        <v>85</v>
      </c>
      <c r="F10" s="9" t="s">
        <v>86</v>
      </c>
      <c r="G10" s="9" t="s">
        <v>48</v>
      </c>
      <c r="H10" s="9" t="s">
        <v>48</v>
      </c>
      <c r="I10" s="9" t="s">
        <v>35</v>
      </c>
      <c r="J10" s="9" t="s">
        <v>35</v>
      </c>
      <c r="K10" s="9" t="s">
        <v>35</v>
      </c>
    </row>
    <row r="11" customFormat="false" ht="15" hidden="false" customHeight="false" outlineLevel="0" collapsed="false">
      <c r="A11" s="8" t="n">
        <v>10</v>
      </c>
      <c r="B11" s="9" t="s">
        <v>87</v>
      </c>
      <c r="C11" s="10" t="s">
        <v>88</v>
      </c>
      <c r="D11" s="9" t="s">
        <v>89</v>
      </c>
      <c r="E11" s="9" t="s">
        <v>90</v>
      </c>
      <c r="F11" s="9" t="s">
        <v>91</v>
      </c>
      <c r="G11" s="9" t="s">
        <v>48</v>
      </c>
      <c r="H11" s="9" t="s">
        <v>48</v>
      </c>
      <c r="I11" s="9" t="s">
        <v>35</v>
      </c>
      <c r="J11" s="9" t="s">
        <v>35</v>
      </c>
      <c r="K11" s="9" t="s">
        <v>35</v>
      </c>
    </row>
  </sheetData>
  <autoFilter ref="A1:K11"/>
  <hyperlinks>
    <hyperlink ref="C2" r:id="rId1" display="https://www.youtube.com/@TEAM_NEWBIES"/>
    <hyperlink ref="C3" r:id="rId2" display="https://github.com/nabeulislam/Nasa_Space_APP_Challenge"/>
    <hyperlink ref="C4" r:id="rId3" display="https://github.com/SaifullahMnsur-Again/EarthScope"/>
    <hyperlink ref="C5" r:id="rId4" display="https://github.com/SalehSeam/EarthPulse---NASA-Earth-Data-Decoded"/>
    <hyperlink ref="C6" r:id="rId5" display="https://github.com/shovon-vubon/echo-earth-nasa-space-apps-2026"/>
    <hyperlink ref="C7" r:id="rId6" display="https://github.com/yasar-sys/living-earth-trend-detective"/>
    <hyperlink ref="C8" r:id="rId7" display="https://github.com/rossycoder/terradetective-ai"/>
    <hyperlink ref="C9" r:id="rId8" display="https://github.com/takiibneduha3-ux/earthtrend-detective"/>
    <hyperlink ref="C10" r:id="rId9" display="https://github.com/nasa-earth-detectives/nasa-earth-trend-detective"/>
    <hyperlink ref="C11" r:id="rId10" display="https://github.com/cpt9m0/trend-detectiv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5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1" t="s">
        <v>92</v>
      </c>
      <c r="B1" s="1" t="s">
        <v>93</v>
      </c>
      <c r="C1" s="1" t="s">
        <v>94</v>
      </c>
    </row>
    <row r="2" customFormat="false" ht="23.85" hidden="false" customHeight="false" outlineLevel="0" collapsed="false">
      <c r="A2" s="11" t="s">
        <v>95</v>
      </c>
      <c r="B2" s="9" t="s">
        <v>96</v>
      </c>
      <c r="C2" s="9" t="s">
        <v>97</v>
      </c>
    </row>
    <row r="3" customFormat="false" ht="15" hidden="false" customHeight="false" outlineLevel="0" collapsed="false">
      <c r="A3" s="11" t="s">
        <v>95</v>
      </c>
      <c r="B3" s="9" t="s">
        <v>98</v>
      </c>
      <c r="C3" s="9" t="s">
        <v>99</v>
      </c>
    </row>
    <row r="4" customFormat="false" ht="15" hidden="false" customHeight="false" outlineLevel="0" collapsed="false">
      <c r="A4" s="11" t="s">
        <v>95</v>
      </c>
      <c r="B4" s="9" t="s">
        <v>100</v>
      </c>
      <c r="C4" s="9" t="s">
        <v>101</v>
      </c>
    </row>
    <row r="5" customFormat="false" ht="23.85" hidden="false" customHeight="false" outlineLevel="0" collapsed="false">
      <c r="A5" s="11" t="s">
        <v>102</v>
      </c>
      <c r="B5" s="9" t="s">
        <v>103</v>
      </c>
      <c r="C5" s="9" t="s">
        <v>104</v>
      </c>
    </row>
    <row r="6" customFormat="false" ht="23.85" hidden="false" customHeight="false" outlineLevel="0" collapsed="false">
      <c r="A6" s="11" t="s">
        <v>105</v>
      </c>
      <c r="B6" s="9" t="s">
        <v>106</v>
      </c>
      <c r="C6" s="9" t="s">
        <v>107</v>
      </c>
    </row>
    <row r="7" customFormat="false" ht="15" hidden="false" customHeight="false" outlineLevel="0" collapsed="false">
      <c r="A7" s="11" t="s">
        <v>105</v>
      </c>
      <c r="B7" s="9" t="s">
        <v>108</v>
      </c>
      <c r="C7" s="9" t="s">
        <v>109</v>
      </c>
    </row>
    <row r="8" customFormat="false" ht="15" hidden="false" customHeight="false" outlineLevel="0" collapsed="false">
      <c r="A8" s="11" t="s">
        <v>105</v>
      </c>
      <c r="B8" s="9" t="s">
        <v>110</v>
      </c>
      <c r="C8" s="9" t="s">
        <v>111</v>
      </c>
    </row>
    <row r="9" customFormat="false" ht="15" hidden="false" customHeight="false" outlineLevel="0" collapsed="false">
      <c r="A9" s="11" t="s">
        <v>105</v>
      </c>
      <c r="B9" s="9" t="s">
        <v>112</v>
      </c>
      <c r="C9" s="9" t="s">
        <v>113</v>
      </c>
    </row>
    <row r="10" customFormat="false" ht="15" hidden="false" customHeight="false" outlineLevel="0" collapsed="false">
      <c r="A10" s="11" t="s">
        <v>114</v>
      </c>
      <c r="B10" s="9" t="s">
        <v>115</v>
      </c>
      <c r="C10" s="9" t="s">
        <v>116</v>
      </c>
    </row>
    <row r="11" customFormat="false" ht="15" hidden="false" customHeight="false" outlineLevel="0" collapsed="false">
      <c r="A11" s="11" t="s">
        <v>114</v>
      </c>
      <c r="B11" s="9" t="s">
        <v>117</v>
      </c>
      <c r="C11" s="9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2026-10-21T01:05:36Z</dcterms:created>
  <dc:creator>openpyxl</dc:creator>
  <dc:description/>
  <dc:language>en-US</dc:language>
  <cp:lastModifiedBy/>
  <dcterms:modified xsi:type="dcterms:W3CDTF">2026-10-21T01:05:36Z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