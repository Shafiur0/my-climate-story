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1ff133e65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8ea725fe4641f9"/>
    <x:sheet xmlns:r="http://schemas.openxmlformats.org/officeDocument/2006/relationships" name="Competing Teams" sheetId="2" r:id="Rcc1721e0f3434427"/>
    <x:sheet xmlns:r="http://schemas.openxmlformats.org/officeDocument/2006/relationships" name="Patterns &amp; Gaps" sheetId="3" r:id="Ra55252536a744f97"/>
    <x:sheet xmlns:r="http://schemas.openxmlformats.org/officeDocument/2006/relationships" name="Delta Strategy" sheetId="4" r:id="R1b2b6e50bae748c1"/>
    <x:sheet xmlns:r="http://schemas.openxmlformats.org/officeDocument/2006/relationships" name="Competitor Review" sheetId="5" r:id="R1960947e40be4197"/>
    <x:sheet xmlns:r="http://schemas.openxmlformats.org/officeDocument/2006/relationships" name="MVP Build Plan" sheetId="6" r:id="R99355362d589492a"/>
    <x:sheet xmlns:r="http://schemas.openxmlformats.org/officeDocument/2006/relationships" name="Important Discoveries" sheetId="7" r:id="R83c124b2f7ca4e5b"/>
    <x:sheet xmlns:r="http://schemas.openxmlformats.org/officeDocument/2006/relationships" name="Feature Comparison" sheetId="8" r:id="R2bf6779d587943c1"/>
    <x:sheet xmlns:r="http://schemas.openxmlformats.org/officeDocument/2006/relationships" name="Ideas &amp; Recommendations" sheetId="9" r:id="R2506e856380947a9"/>
    <x:sheet xmlns:r="http://schemas.openxmlformats.org/officeDocument/2006/relationships" name="NASA Evidence Snapshot" sheetId="10" r:id="R6dc3802d2a364259"/>
    <x:sheet xmlns:r="http://schemas.openxmlformats.org/officeDocument/2006/relationships" name="Formula Lab" sheetId="11" r:id="Rb3207874770149e5"/>
  </x:sheets>
</x:workbook>
</file>

<file path=xl/sharedStrings.xml><?xml version="1.0" encoding="utf-8"?>
<x:sst xmlns:x="http://schemas.openxmlformats.org/spreadsheetml/2006/main">
  <x:si>
    <x:t xml:space="preserve">Metric</x:t>
  </x:si>
  <x:si>
    <x:t xml:space="preserve">Count</x:t>
  </x:si>
  <x:si>
    <x:t xml:space="preserve">Share of teams found</x:t>
  </x:si>
  <x:si>
    <x:t xml:space="preserve">Teams / projects found</x:t>
  </x:si>
  <x:si>
    <x:t xml:space="preserve">Bangladesh-focused (Yes)</x:t>
  </x:si>
  <x:si>
    <x:t xml:space="preserve">Bangladesh focus not stated</x:t>
  </x:si>
  <x:si>
    <x:t xml:space="preserve">Mention Mann-Kendall</x:t>
  </x:si>
  <x:si>
    <x:t xml:space="preserve">Mention plain-language explanation (Yes)</x:t>
  </x:si>
  <x:si>
    <x:t xml:space="preserve">Mention satellite before/after imagery</x:t>
  </x:si>
  <x:si>
    <x:t xml:space="preserve">Mention low-bandwidth design</x:t>
  </x:si>
  <x:si>
    <x:t xml:space="preserve">Notes</x:t>
  </x:si>
  <x:si>
    <x:t xml:space="preserve">Source: public GitHub repositories and one YouTube channel found by web search on 21 Oct 2026.</x:t>
  </x:si>
  <x:si>
    <x:t xml:space="preserve">This is NOT the full list of teams: the official Space Apps site could not be opened, and most teams have nothing public.</x:t>
  </x:si>
  <x:si>
    <x:t xml:space="preserve">Many entries are early prototypes. Descriptions come from README text; features not written there may still exist.</x:t>
  </x:si>
  <x:si>
    <x:t xml:space="preserve">TerraBangla details come from the video description you pasted; the video itself was not watched.</x:t>
  </x:si>
  <x:si>
    <x:t xml:space="preserve">"Not mentioned" means absent from the description found, not proof that the feature is missing.</x:t>
  </x:si>
  <x:si>
    <x:t xml:space="preserve">Final submissions open 14-15 November 2026; the competitor picture will change.</x:t>
  </x:si>
  <x:si>
    <x:t xml:space="preserve">#</x:t>
  </x:si>
  <x:si>
    <x:t xml:space="preserve">Team / Project</x:t>
  </x:si>
  <x:si>
    <x:t xml:space="preserve">Link</x:t>
  </x:si>
  <x:si>
    <x:t xml:space="preserve">What it does (বর্ণনা)</x:t>
  </x:si>
  <x:si>
    <x:t xml:space="preserve">Tech / data</x:t>
  </x:si>
  <x:si>
    <x:t xml:space="preserve">Status</x:t>
  </x:si>
  <x:si>
    <x:t xml:space="preserve">Bangladesh focus</x:t>
  </x:si>
  <x:si>
    <x:t xml:space="preserve">Statistical method mentioned</x:t>
  </x:si>
  <x:si>
    <x:t xml:space="preserve">Plain-language explanation mentioned</x:t>
  </x:si>
  <x:si>
    <x:t xml:space="preserve">Satellite before/after imagery mentioned</x:t>
  </x:si>
  <x:si>
    <x:t xml:space="preserve">Low-bandwidth design mentioned</x:t>
  </x:si>
  <x:si>
    <x:t xml:space="preserve">TerraBangla (MEC TERRA_DETECTORS)</x:t>
  </x:si>
  <x:si>
    <x:t xml:space="preserve">https://www.youtube.com/@TEAM_NEWBIES</x:t>
  </x:si>
  <x:si>
    <x:t xml:space="preserve">৬৪ জেলা, ৩ডি গ্লোব, দুই জেলা বা দুই ভ্যারিয়েবলের তুলনা, কিডস সেকশন, বাংলা-ইংরেজি</x:t>
  </x:si>
  <x:si>
    <x:t xml:space="preserve">NASA POWER, MODIS/VIIRS; React, TypeScript, Three.js, FastAPI, Vercel</x:t>
  </x:si>
  <x:si>
    <x:t xml:space="preserve">240s video published (based on the description you pasted; video not watched)</x:t>
  </x:si>
  <x:si>
    <x:t xml:space="preserve">Yes</x:t>
  </x:si>
  <x:si>
    <x:t xml:space="preserve">Mann-Kendall + Theil-Sen</x:t>
  </x:si>
  <x:si>
    <x:t xml:space="preserve">Not mentioned</x:t>
  </x:si>
  <x:si>
    <x:t xml:space="preserve">Orion Space</x:t>
  </x:si>
  <x:si>
    <x:t xml:space="preserve">https://github.com/nabeulislam/Nasa_Space_APP_Challenge</x:t>
  </x:si>
  <x:si>
    <x:t xml:space="preserve">বাংলাদেশ ২০০১-২০২৫, বহু ভ্যারিয়েবলের পারস্পরিক সম্পর্ক, ৩৪ গ্রিড সেলের ট্রেন্ড, প্রশ্ন লিখে উত্তর পাওয়ার সুবিধা</x:t>
  </x:si>
  <x:si>
    <x:t xml:space="preserve">NASA GSFC and LaRC data, geoBoundaries; Python, FastAPI, React 19, Vite</x:t>
  </x:si>
  <x:si>
    <x:t xml:space="preserve">Well-documented README and API</x:t>
  </x:si>
  <x:si>
    <x:t xml:space="preserve">Trend + FDR (multiple-test correction)</x:t>
  </x:si>
  <x:si>
    <x:t xml:space="preserve">Natural-language query</x:t>
  </x:si>
  <x:si>
    <x:t xml:space="preserve">EarthScope</x:t>
  </x:si>
  <x:si>
    <x:t xml:space="preserve">https://github.com/SaifullahMnsur-Again/EarthScope</x:t>
  </x:si>
  <x:si>
    <x:t xml:space="preserve">ট্রেন্ড মানচিত্র, ডেটা কম থাকলে "অপর্যাপ্ত ডেটা" চিহ্নিত, ঋতু ও অটোকোরিলেশন যাচাই, CSV/GeoJSON রপ্তানি, ফোরকাস্ট ওভারলে</x:t>
  </x:si>
  <x:si>
    <x:t xml:space="preserve">NASA POWER Open API and other NASA Earth science datasets; Python</x:t>
  </x:si>
  <x:si>
    <x:t xml:space="preserve">Functional prototype, in active development</x:t>
  </x:si>
  <x:si>
    <x:t xml:space="preserve">Not stated</x:t>
  </x:si>
  <x:si>
    <x:t xml:space="preserve">Mann-Kendall</x:t>
  </x:si>
  <x:si>
    <x:t xml:space="preserve">EarthPulse (NovaCore)</x:t>
  </x:si>
  <x:si>
    <x:t xml:space="preserve">https://github.com/SalehSeam/EarthPulse---NASA-Earth-Data-Decoded</x:t>
  </x:si>
  <x:si>
    <x:t xml:space="preserve">NASA POWER থেকে ডেটা এনে যাচাই, ট্রেন্ড শনাক্ত, পরিবর্তনের পরিমাণ, তাৎপর্য পরীক্ষা, সহজ ভাষায় ব্যাখ্যা</x:t>
  </x:si>
  <x:si>
    <x:t xml:space="preserve">NASA POWER; web app</x:t>
  </x:si>
  <x:si>
    <x:t xml:space="preserve">Repository available</x:t>
  </x:si>
  <x:si>
    <x:t xml:space="preserve">Significance test (type not stated)</x:t>
  </x:si>
  <x:si>
    <x:t xml:space="preserve">ECHO EARTH</x:t>
  </x:si>
  <x:si>
    <x:t xml:space="preserve">https://github.com/shovon-vubon/echo-earth-nasa-space-apps-2026</x:t>
  </x:si>
  <x:si>
    <x:t xml:space="preserve">ট্রেন্ড বিশ্লেষণ + পরীক্ষামূলক দুর্যোগ ঝুঁকি বুদ্ধিমত্তা (পূর্বাভাস ও ভূখণ্ড ডেটা সহ)</x:t>
  </x:si>
  <x:si>
    <x:t xml:space="preserve">NASA open data; forecasts and terrain data</x:t>
  </x:si>
  <x:si>
    <x:t xml:space="preserve">Concept / early development</x:t>
  </x:si>
  <x:si>
    <x:t xml:space="preserve">Yes (Dhaka local event)</x:t>
  </x:si>
  <x:si>
    <x:t xml:space="preserve">Yes (evidence and explanation)</x:t>
  </x:si>
  <x:si>
    <x:t xml:space="preserve">Living Earth: Trend Detective</x:t>
  </x:si>
  <x:si>
    <x:t xml:space="preserve">https://github.com/yasar-sys/living-earth-trend-detective</x:t>
  </x:si>
  <x:si>
    <x:t xml:space="preserve">৩ডি গ্লোব, "Detective Cases" যেখানে একই প্রক্রিয়া বিভিন্ন অঞ্চলে উল্টো ট্রেন্ড কেন তৈরি করে তা ব্যাখ্যা</x:t>
  </x:si>
  <x:si>
    <x:t xml:space="preserve">React, TypeScript, Three.js, Tailwind, Vercel; planned NASA GISTEMP, NSIDC, NOAA data</x:t>
  </x:si>
  <x:si>
    <x:t xml:space="preserve">Prototype with placeholder data</x:t>
  </x:si>
  <x:si>
    <x:t xml:space="preserve">No (global)</x:t>
  </x:si>
  <x:si>
    <x:t xml:space="preserve">Yes (Detective Cases)</x:t>
  </x:si>
  <x:si>
    <x:t xml:space="preserve">TerraDetective AI</x:t>
  </x:si>
  <x:si>
    <x:t xml:space="preserve">https://github.com/rossycoder/terradetective-ai</x:t>
  </x:si>
  <x:si>
    <x:t xml:space="preserve">পৃথিবীর যেকোনো জায়গার ৪০ বছরের ডেটা, ওয়ার্মিং রেট (৯৫% আস্থা ব্যবধান ও p-value), অস্বাভাবিক বছর শনাক্ত, AI-লেখা প্রতিবেদন</x:t>
  </x:si>
  <x:si>
    <x:t xml:space="preserve">NASA POWER; Python (app/trend_ai.py)</x:t>
  </x:si>
  <x:si>
    <x:t xml:space="preserve">Working pipeline, PDF export planned</x:t>
  </x:si>
  <x:si>
    <x:t xml:space="preserve">Linear trend with 95% CI and p-value</x:t>
  </x:si>
  <x:si>
    <x:t xml:space="preserve">Yes (AI narrative)</x:t>
  </x:si>
  <x:si>
    <x:t xml:space="preserve">EarthTrend Detective Pro</x:t>
  </x:si>
  <x:si>
    <x:t xml:space="preserve">https://github.com/takiibneduha3-ux/earthtrend-detective</x:t>
  </x:si>
  <x:si>
    <x:t xml:space="preserve">ড্যাশবোর্ড: অঞ্চল ও সংকেত বাছাই, সময়সীমা, ট্রেন্ড সূচক, "প্রমাণ খাতা", JSON রপ্তানি</x:t>
  </x:si>
  <x:si>
    <x:t xml:space="preserve">Prototype; NASA datasets not yet connected</x:t>
  </x:si>
  <x:si>
    <x:t xml:space="preserve">Not stated (trend indicators)</x:t>
  </x:si>
  <x:si>
    <x:t xml:space="preserve">nasa-earth-detectives</x:t>
  </x:si>
  <x:si>
    <x:t xml:space="preserve">https://github.com/nasa-earth-detectives/nasa-earth-trend-detective</x:t>
  </x:si>
  <x:si>
    <x:t xml:space="preserve">৩ডি জিও-টেম্পোরাল বিশ্লেষণ প্ল্যাটফর্ম, ব্যাকএন্ড ও ফ্রন্টএন্ড সাবটিম</x:t>
  </x:si>
  <x:si>
    <x:t xml:space="preserve">.NET 10, DuckDB, React 19, Three.js, Docker</x:t>
  </x:si>
  <x:si>
    <x:t xml:space="preserve">Project structure and team roles</x:t>
  </x:si>
  <x:si>
    <x:t xml:space="preserve">The Selection Lab</x:t>
  </x:si>
  <x:si>
    <x:t xml:space="preserve">https://github.com/cpt9m0/trend-detective</x:t>
  </x:si>
  <x:si>
    <x:t xml:space="preserve">পাইথন স্টার্টার রিপো, NASA CMR-এ যাচাই করা ৮টি ডেটা রেকর্ডের শর্টলিস্ট</x:t>
  </x:si>
  <x:si>
    <x:t xml:space="preserve">Python (uv, notebooks); NASA CMR</x:t>
  </x:si>
  <x:si>
    <x:t xml:space="preserve">Starter scaffold</x:t>
  </x:si>
  <x:si>
    <x:t xml:space="preserve">Type</x:t>
  </x:si>
  <x:si>
    <x:t xml:space="preserve">Observation</x:t>
  </x:si>
  <x:si>
    <x:t xml:space="preserve">Evidence / confidence</x:t>
  </x:si>
  <x:si>
    <x:t xml:space="preserve">Pattern</x:t>
  </x:si>
  <x:si>
    <x:t xml:space="preserve">বাংলাদেশ ইতিমধ্যে ভিড়: শুধু "জেলাভিত্তিক ট্রেন্ড" দিয়ে আলাদা হওয়া কঠিন</x:t>
  </x:si>
  <x:si>
    <x:t xml:space="preserve">TerraBangla, Orion Space and ECHO EARTH are marked Bangladesh-focused in the Competing Teams sheet</x:t>
  </x:si>
  <x:si>
    <x:t xml:space="preserve">প্রায় সবার কমন: NASA POWER, Mann-Kendall বা লিনিয়ার ট্রেন্ড, মানচিত্র বা গ্লোব</x:t>
  </x:si>
  <x:si>
    <x:t xml:space="preserve">See the Statistical method and Tech columns</x:t>
  </x:si>
  <x:si>
    <x:t xml:space="preserve">ভারী ফ্রন্টএন্ড (৩ডি গ্লোব) ও ব্যাকএন্ড (FastAPI, .NET) ব্যবহার প্রচলিত</x:t>
  </x:si>
  <x:si>
    <x:t xml:space="preserve">TerraBangla, Living Earth, nasa-earth-detectives, Orion Space</x:t>
  </x:si>
  <x:si>
    <x:t xml:space="preserve">Correction</x:t>
  </x:si>
  <x:si>
    <x:t xml:space="preserve">"কেন" ব্যাখ্যা একা পার্থক্য নয়: কয়েকটি টিম সহজ ভাষার ব্যাখ্যা যোগ করছে। তবে ওরা সংখ্যার ব্যাখ্যা দিচ্ছে নাকি ভৌত কারণের, তা নিশ্চিত নই</x:t>
  </x:si>
  <x:si>
    <x:t xml:space="preserve">EarthPulse, TerraDetective AI, ECHO EARTH, Living Earth mention explanations; read their repos to compare depth</x:t>
  </x:si>
  <x:si>
    <x:t xml:space="preserve">Possible gap</x:t>
  </x:si>
  <x:si>
    <x:t xml:space="preserve">স্যাটেলাইট আগে-পরে ছবি (GIBS/Worldview)</x:t>
  </x:si>
  <x:si>
    <x:t xml:space="preserve">Not mentioned in any description found. Unverified: a project may have it without describing it</x:t>
  </x:si>
  <x:si>
    <x:t xml:space="preserve">মানুষের অভিজ্ঞতার সঙ্গে ডেটা মেলানো (ground truth)</x:t>
  </x:si>
  <x:si>
    <x:t xml:space="preserve">Not mentioned in any description found. Unverified</x:t>
  </x:si>
  <x:si>
    <x:t xml:space="preserve">ধীর ইন্টারনেটে চলার নকশা (স্ট্যাটিক JSON, ছোট ফাইল)</x:t>
  </x:si>
  <x:si>
    <x:t xml:space="preserve">Not mentioned; most teams use 3D globes and backends. Unverified</x:t>
  </x:si>
  <x:si>
    <x:t xml:space="preserve">একটি গভীর কেস স্টাডি (যেমন নদীর ভাঙন ও চর, বর্ষার সময়ের পরিবর্তন)</x:t>
  </x:si>
  <x:si>
    <x:t xml:space="preserve">Most teams aim for broad coverage of many variables and districts. Unverified</x:t>
  </x:si>
  <x:si>
    <x:t xml:space="preserve">Advice</x:t>
  </x:si>
  <x:si>
    <x:t xml:space="preserve">সব কিছু একসঙ্গে না করে একটি গল্প বেছে নিন যা ছবি, ডেটা ও মানুষের কথা দিয়ে বলা যায়</x:t>
  </x:si>
  <x:si>
    <x:t xml:space="preserve">Judgement based on the findings above</x:t>
  </x:si>
  <x:si>
    <x:t xml:space="preserve">অন্য টিমের কোড বা লেখা কপি করবেন না</x:t>
  </x:si>
  <x:si>
    <x:t xml:space="preserve">Hackathon integrity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</x:si>
</x:sst>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0"/>
    <x:numFmt numFmtId="166" formatCode="0%"/>
    <x:numFmt numFmtId="200" formatCode="#,##0"/>
    <x:numFmt numFmtId="201" formatCode="0.00"/>
    <x:numFmt numFmtId="202" formatCode="0.0000"/>
    <x:numFmt numFmtId="203" formatCode="#,##0.00"/>
    <x:numFmt numFmtId="204" formatCode="0.0%"/>
    <x:numFmt numFmtId="205" formatCode="0.000"/>
  </x:numFmts>
  <x:fonts count="33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u val="single"/>
      <x:sz val="10"/>
      <x:color rgb="FF0563C1"/>
      <x:name val="Arial"/>
    </x:font>
    <x:font>
      <x:b/>
      <x:sz val="15"/>
      <x:color rgb="FF102A43"/>
      <x:name val="Arial"/>
      <x:family val="2"/>
    </x:font>
    <x:font>
      <x:i/>
      <x:sz val="10"/>
      <x:color rgb="FF536575"/>
      <x:name val="Arial"/>
      <x:family val="2"/>
    </x:font>
    <x:font>
      <x:b/>
      <x:sz val="11"/>
      <x:color rgb="FF0A706B"/>
      <x:name val="Arial"/>
      <x:family val="2"/>
    </x:font>
    <x:font>
      <x:b/>
      <x:sz val="10"/>
      <x:color rgb="FF102A43"/>
      <x:name val="Arial"/>
      <x:family val="2"/>
    </x:font>
    <x:font>
      <x:b/>
      <x:sz val="10"/>
      <x:color rgb="FFFFFFFF"/>
      <x:name val="Arial"/>
      <x:family val="2"/>
    </x:font>
    <x:font>
      <x:sz val="10"/>
      <x:color rgb="FF102A43"/>
      <x:name val="Arial"/>
      <x:family val="2"/>
    </x:font>
    <x:font>
      <x:b/>
      <x:sz val="12"/>
      <x:color rgb="FF102A43"/>
      <x:name val="Arial"/>
      <x:family val="2"/>
    </x:font>
    <x:font>
      <x:sz val="10"/>
      <x:color rgb="FF23547C"/>
      <x:name val="Arial"/>
      <x:family val="2"/>
    </x:font>
    <x:font>
      <x:i/>
      <x:sz val="10"/>
      <x:color rgb="FF9D2B2E"/>
      <x:name val="Arial"/>
      <x:family val="2"/>
    </x:font>
    <x:font>
      <x:b/>
      <x:sz val="10"/>
      <x:color rgb="FFB86B00"/>
      <x:name val="Arial"/>
      <x:family val="2"/>
    </x:font>
    <x:font>
      <x:b/>
      <x:sz val="10"/>
      <x:color rgb="FF23547C"/>
      <x:name val="Arial"/>
      <x:family val="2"/>
    </x:font>
    <x:font>
      <x:b/>
      <x:sz val="10"/>
      <x:color rgb="FF9D2B2E"/>
      <x:name val="Arial"/>
      <x:family val="2"/>
    </x:font>
    <x:font>
      <x:b/>
      <x:sz val="15"/>
      <x:color rgb="FF133049"/>
      <x:name val="Arial"/>
      <x:family val="2"/>
    </x:font>
    <x:font>
      <x:i/>
      <x:sz val="10"/>
      <x:color rgb="FF536473"/>
      <x:name val="Arial"/>
      <x:family val="2"/>
    </x:font>
    <x:font>
      <x:sz val="10"/>
      <x:color rgb="FF133049"/>
      <x:name val="Arial"/>
      <x:family val="2"/>
    </x:font>
    <x:font>
      <x:b/>
      <x:sz val="10"/>
      <x:color rgb="FF246080"/>
      <x:name val="Arial"/>
      <x:family val="2"/>
    </x:font>
    <x:font>
      <x:i/>
      <x:sz val="10"/>
      <x:color rgb="FFA72A30"/>
      <x:name val="Arial"/>
      <x:family val="2"/>
    </x:font>
    <x:font>
      <x:b/>
      <x:sz val="10"/>
      <x:color rgb="FF08796A"/>
      <x:name val="Arial"/>
      <x:family val="2"/>
    </x:font>
    <x:font>
      <x:sz val="10"/>
      <x:color rgb="FF536473"/>
      <x:name val="Arial"/>
      <x:family val="2"/>
    </x:font>
    <x:font>
      <x:b/>
      <x:sz val="10"/>
      <x:color rgb="FFA72A30"/>
      <x:name val="Arial"/>
      <x:family val="2"/>
    </x:font>
    <x:font>
      <x:b/>
      <x:sz val="10"/>
      <x:color rgb="FF536473"/>
      <x:name val="Arial"/>
      <x:family val="2"/>
    </x:font>
    <x:font>
      <x:i/>
      <x:sz val="10"/>
      <x:color rgb="FF246080"/>
      <x:name val="Arial"/>
      <x:family val="2"/>
    </x:font>
    <x:font>
      <x:sz val="10"/>
      <x:color rgb="FFA72A30"/>
      <x:name val="Arial"/>
      <x:family val="2"/>
    </x:font>
    <x:font>
      <x:b/>
      <x:sz val="12"/>
      <x:color rgb="FFA72A30"/>
      <x:name val="Arial"/>
      <x:family val="2"/>
    </x:font>
    <x:font>
      <x:b/>
      <x:sz val="12"/>
      <x:color rgb="FF08796A"/>
      <x:name val="Arial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AF7F4"/>
      </x:patternFill>
    </x:fill>
    <x:fill>
      <x:patternFill patternType="solid">
        <x:fgColor rgb="FF17324F"/>
      </x:patternFill>
    </x:fill>
    <x:fill>
      <x:patternFill patternType="solid">
        <x:fgColor rgb="FFF4F7FA"/>
      </x:patternFill>
    </x:fill>
    <x:fill>
      <x:patternFill patternType="solid">
        <x:fgColor rgb="FFFFF4DF"/>
      </x:patternFill>
    </x:fill>
    <x:fill>
      <x:patternFill patternType="solid">
        <x:fgColor rgb="FF183750"/>
      </x:patternFill>
    </x:fill>
    <x:fill>
      <x:patternFill patternType="solid">
        <x:fgColor rgb="FFF5F8FA"/>
      </x:patternFill>
    </x:fill>
    <x:fill>
      <x:patternFill patternType="solid">
        <x:fgColor rgb="FFE8F5F1"/>
      </x:patternFill>
    </x:fill>
    <x:fill>
      <x:patternFill patternType="solid">
        <x:fgColor rgb="FFFFF2DC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0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1" xfId="0" applyFont="1" applyBorder="1" applyAlignment="1" applyProtection="0">
      <x:alignment horizontal="center" vertical="center" wrapText="0" shrinkToFit="0"/>
      <x:protection locked="1" hidden="0"/>
    </x:xf>
    <x:xf numFmtId="164" fontId="5" fillId="0" borderId="1" xfId="0" applyFont="1" applyBorder="1" applyAlignment="0" applyProtection="0">
      <x:alignment horizontal="general" vertical="bottom" wrapText="0" shrinkToFit="0"/>
      <x:protection locked="1" hidden="0"/>
    </x:xf>
    <x:xf numFmtId="165" fontId="5" fillId="0" borderId="1" xfId="0" applyFont="1" applyBorder="1" applyAlignment="1" applyProtection="0">
      <x:alignment horizontal="center" vertical="bottom" wrapText="0" shrinkToFit="0"/>
      <x:protection locked="1" hidden="0"/>
    </x:xf>
    <x:xf numFmtId="166" fontId="5" fillId="0" borderId="1" xfId="0" applyFont="1" applyBorder="1" applyAlignment="1" applyProtection="0">
      <x:alignment horizontal="center" vertical="bottom" wrapText="0" shrinkToFit="0"/>
      <x:protection locked="1" hidden="0"/>
    </x:xf>
    <x:xf numFmtId="164" fontId="6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1" applyAlignment="1" applyProtection="0">
      <x:alignment horizontal="general" vertical="top" wrapText="1" shrinkToFit="0"/>
      <x:protection locked="1" hidden="0"/>
    </x:xf>
    <x:xf numFmtId="164" fontId="4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5" fillId="0" borderId="1" xfId="0" applyFont="1" applyBorder="1" applyAlignment="1" applyProtection="0">
      <x:alignment horizontal="center" vertical="top" wrapText="0" shrinkToFit="0"/>
      <x:protection locked="1" hidden="0"/>
    </x:xf>
    <x:xf numFmtId="164" fontId="5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7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6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10" fillId="0" borderId="0" xfId="0" applyNumberFormat="1" applyFont="1" applyFill="1" applyBorder="1" applyAlignment="1">
      <x:alignment horizontal="general" vertical="bottom" wrapText="0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11" fillId="3" borderId="0" xfId="0" applyNumberFormat="1" applyFont="1" applyFill="1" applyBorder="1" applyAlignment="1">
      <x:alignment horizontal="general" vertical="bottom" wrapText="0"/>
    </x:xf>
    <x:xf numFmtId="164" fontId="11" fillId="3" borderId="0" xfId="0" applyNumberFormat="1" applyFont="1" applyFill="1" applyBorder="1" applyAlignment="1">
      <x:alignment horizontal="general" vertical="bottom" wrapText="1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12" fillId="4" borderId="0" xfId="0" applyNumberFormat="1" applyFont="1" applyFill="1" applyBorder="1" applyAlignment="1">
      <x:alignment horizontal="general" vertical="bottom" wrapText="0"/>
    </x:xf>
    <x:xf numFmtId="164" fontId="12" fillId="4" borderId="0" xfId="0" applyNumberFormat="1" applyFont="1" applyFill="1" applyBorder="1" applyAlignment="1">
      <x:alignment horizontal="general" vertical="center" wrapText="0"/>
    </x:xf>
    <x:xf numFmtId="164" fontId="12" fillId="4" borderId="0" xfId="0" applyNumberFormat="1" applyFont="1" applyFill="1" applyBorder="1" applyAlignment="1">
      <x:alignment horizontal="center" vertical="center" wrapText="0"/>
    </x:xf>
    <x:xf numFmtId="164" fontId="12" fillId="4" borderId="0" xfId="0" applyNumberFormat="1" applyFont="1" applyFill="1" applyBorder="1" applyAlignment="1">
      <x:alignment horizontal="center" vertical="center" wrapText="1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center" wrapText="1"/>
    </x:xf>
    <x:xf numFmtId="164" fontId="13" fillId="5" borderId="0" xfId="0" applyNumberFormat="1" applyFont="1" applyFill="1" applyBorder="1" applyAlignment="1">
      <x:alignment horizontal="general" vertical="center" wrapText="1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5" fillId="0" borderId="0" xfId="0" applyNumberFormat="1" applyFont="1" applyFill="1" applyBorder="1" applyAlignment="1">
      <x:alignment horizontal="general" vertical="bottom" wrapText="0"/>
    </x:xf>
    <x:xf numFmtId="200" fontId="15" fillId="0" borderId="0" xfId="0" applyNumberFormat="1" applyFont="1" applyFill="1" applyBorder="1" applyAlignment="1">
      <x:alignment horizontal="general" vertical="bottom" wrapText="0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17" fillId="0" borderId="0" xfId="0" applyNumberFormat="1" applyFont="1" applyFill="1" applyBorder="1" applyAlignment="1">
      <x:alignment horizontal="general" vertical="center" wrapText="1"/>
    </x:xf>
    <x:xf numFmtId="164" fontId="17" fillId="5" borderId="0" xfId="0" applyNumberFormat="1" applyFont="1" applyFill="1" applyBorder="1" applyAlignment="1">
      <x:alignment horizontal="general" vertical="center" wrapText="1"/>
    </x:xf>
    <x:xf numFmtId="164" fontId="18" fillId="0" borderId="0" xfId="0" applyNumberFormat="1" applyFont="1" applyFill="1" applyBorder="1" applyAlignment="1">
      <x:alignment horizontal="general" vertical="center" wrapText="1"/>
    </x:xf>
    <x:xf numFmtId="164" fontId="18" fillId="5" borderId="0" xfId="0" applyNumberFormat="1" applyFont="1" applyFill="1" applyBorder="1" applyAlignment="1">
      <x:alignment horizontal="general" vertical="center" wrapText="1"/>
    </x:xf>
    <x:xf numFmtId="164" fontId="19" fillId="0" borderId="0" xfId="0" applyNumberFormat="1" applyFont="1" applyFill="1" applyBorder="1" applyAlignment="1">
      <x:alignment horizontal="general" vertical="center" wrapText="1"/>
    </x:xf>
    <x:xf numFmtId="164" fontId="13" fillId="6" borderId="0" xfId="0" applyNumberFormat="1" applyFont="1" applyFill="1" applyBorder="1" applyAlignment="1">
      <x:alignment horizontal="general" vertical="center" wrapText="1"/>
    </x:xf>
    <x:xf numFmtId="164" fontId="19" fillId="5" borderId="0" xfId="0" applyNumberFormat="1" applyFont="1" applyFill="1" applyBorder="1" applyAlignment="1">
      <x:alignment horizontal="general" vertical="center" wrapText="1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2" fillId="7" borderId="0" xfId="0" applyNumberFormat="1" applyFont="1" applyFill="1" applyBorder="1" applyAlignment="1">
      <x:alignment horizontal="general" vertical="bottom" wrapText="0"/>
    </x:xf>
    <x:xf numFmtId="164" fontId="12" fillId="7" borderId="0" xfId="0" applyNumberFormat="1" applyFont="1" applyFill="1" applyBorder="1" applyAlignment="1">
      <x:alignment horizontal="general" vertical="bottom" wrapText="1"/>
    </x:xf>
    <x:xf numFmtId="164" fontId="12" fillId="7" borderId="0" xfId="0" applyNumberFormat="1" applyFont="1" applyFill="1" applyBorder="1" applyAlignment="1">
      <x:alignment horizontal="general" vertical="center" wrapText="1"/>
    </x:xf>
    <x:xf numFmtId="164" fontId="12" fillId="7" borderId="0" xfId="0" applyNumberFormat="1" applyFont="1" applyFill="1" applyBorder="1" applyAlignment="1">
      <x:alignment horizontal="center" vertical="center" wrapText="1"/>
    </x:xf>
    <x:xf numFmtId="164" fontId="22" fillId="0" borderId="0" xfId="0" applyNumberFormat="1" applyFont="1" applyFill="1" applyBorder="1" applyAlignment="1">
      <x:alignment horizontal="general" vertical="bottom" wrapText="0"/>
    </x:xf>
    <x:xf numFmtId="164" fontId="22" fillId="0" borderId="0" xfId="0" applyNumberFormat="1" applyFont="1" applyFill="1" applyBorder="1" applyAlignment="1">
      <x:alignment horizontal="general" vertical="bottom" wrapText="1"/>
    </x:xf>
    <x:xf numFmtId="164" fontId="22" fillId="0" borderId="0" xfId="0" applyNumberFormat="1" applyFont="1" applyFill="1" applyBorder="1" applyAlignment="1">
      <x:alignment horizontal="general" vertical="center" wrapText="1"/>
    </x:xf>
    <x:xf numFmtId="164" fontId="22" fillId="8" borderId="0" xfId="0" applyNumberFormat="1" applyFont="1" applyFill="1" applyBorder="1" applyAlignment="1">
      <x:alignment horizontal="general" vertical="center" wrapText="1"/>
    </x:xf>
    <x:xf numFmtId="165" fontId="22" fillId="0" borderId="0" xfId="0" applyNumberFormat="1" applyFont="1" applyFill="1" applyBorder="1" applyAlignment="1">
      <x:alignment horizontal="general" vertical="center" wrapText="1"/>
    </x:xf>
    <x:xf numFmtId="165" fontId="22" fillId="8" borderId="0" xfId="0" applyNumberFormat="1" applyFont="1" applyFill="1" applyBorder="1" applyAlignment="1">
      <x:alignment horizontal="general" vertical="center" wrapText="1"/>
    </x:xf>
    <x:xf numFmtId="164" fontId="23" fillId="0" borderId="0" xfId="0" applyNumberFormat="1" applyFont="1" applyFill="1" applyBorder="1" applyAlignment="1">
      <x:alignment horizontal="general" vertical="center" wrapText="1"/>
    </x:xf>
    <x:xf numFmtId="164" fontId="23" fillId="8" borderId="0" xfId="0" applyNumberFormat="1" applyFont="1" applyFill="1" applyBorder="1" applyAlignment="1">
      <x:alignment horizontal="general" vertical="center" wrapText="1"/>
    </x:xf>
    <x:xf numFmtId="164" fontId="24" fillId="0" borderId="0" xfId="0" applyNumberFormat="1" applyFont="1" applyFill="1" applyBorder="1" applyAlignment="1">
      <x:alignment horizontal="general" vertical="bottom" wrapText="0"/>
    </x:xf>
    <x:xf numFmtId="164" fontId="22" fillId="9" borderId="0" xfId="0" applyNumberFormat="1" applyFont="1" applyFill="1" applyBorder="1" applyAlignment="1">
      <x:alignment horizontal="general" vertical="center" wrapText="1"/>
    </x:xf>
    <x:xf numFmtId="164" fontId="25" fillId="9" borderId="0" xfId="0" applyNumberFormat="1" applyFont="1" applyFill="1" applyBorder="1" applyAlignment="1">
      <x:alignment horizontal="general" vertical="center" wrapText="1"/>
    </x:xf>
    <x:xf numFmtId="164" fontId="26" fillId="0" borderId="0" xfId="0" applyNumberFormat="1" applyFont="1" applyFill="1" applyBorder="1" applyAlignment="1">
      <x:alignment horizontal="general" vertical="center" wrapText="1"/>
    </x:xf>
    <x:xf numFmtId="164" fontId="26" fillId="8" borderId="0" xfId="0" applyNumberFormat="1" applyFont="1" applyFill="1" applyBorder="1" applyAlignment="1">
      <x:alignment horizontal="general" vertical="center" wrapText="1"/>
    </x:xf>
    <x:xf numFmtId="164" fontId="27" fillId="0" borderId="0" xfId="0" applyNumberFormat="1" applyFont="1" applyFill="1" applyBorder="1" applyAlignment="1">
      <x:alignment horizontal="general" vertical="center" wrapText="1"/>
    </x:xf>
    <x:xf numFmtId="164" fontId="22" fillId="10" borderId="0" xfId="0" applyNumberFormat="1" applyFont="1" applyFill="1" applyBorder="1" applyAlignment="1">
      <x:alignment horizontal="general" vertical="center" wrapText="1"/>
    </x:xf>
    <x:xf numFmtId="164" fontId="27" fillId="8" borderId="0" xfId="0" applyNumberFormat="1" applyFont="1" applyFill="1" applyBorder="1" applyAlignment="1">
      <x:alignment horizontal="general" vertical="center" wrapText="1"/>
    </x:xf>
    <x:xf numFmtId="164" fontId="28" fillId="8" borderId="0" xfId="0" applyNumberFormat="1" applyFont="1" applyFill="1" applyBorder="1" applyAlignment="1">
      <x:alignment horizontal="general" vertical="center" wrapText="1"/>
    </x:xf>
    <x:xf numFmtId="164" fontId="28" fillId="0" borderId="0" xfId="0" applyNumberFormat="1" applyFont="1" applyFill="1" applyBorder="1" applyAlignment="1">
      <x:alignment horizontal="general" vertical="center" wrapText="1"/>
    </x:xf>
    <x:xf numFmtId="201" fontId="22" fillId="0" borderId="0" xfId="0" applyNumberFormat="1" applyFont="1" applyFill="1" applyBorder="1" applyAlignment="1">
      <x:alignment horizontal="general" vertical="center" wrapText="1"/>
    </x:xf>
    <x:xf numFmtId="202" fontId="22" fillId="0" borderId="0" xfId="0" applyNumberFormat="1" applyFont="1" applyFill="1" applyBorder="1" applyAlignment="1">
      <x:alignment horizontal="general" vertical="center" wrapText="1"/>
    </x:xf>
    <x:xf numFmtId="164" fontId="29" fillId="0" borderId="0" xfId="0" applyNumberFormat="1" applyFont="1" applyFill="1" applyBorder="1" applyAlignment="1">
      <x:alignment horizontal="general" vertical="bottom" wrapText="0"/>
    </x:xf>
    <x:xf numFmtId="164" fontId="27" fillId="0" borderId="0" xfId="0" applyNumberFormat="1" applyFont="1" applyFill="1" applyBorder="1" applyAlignment="1">
      <x:alignment horizontal="general" vertical="bottom" wrapText="0"/>
    </x:xf>
    <x:xf numFmtId="164" fontId="30" fillId="0" borderId="0" xfId="0" applyNumberFormat="1" applyFont="1" applyFill="1" applyBorder="1" applyAlignment="1">
      <x:alignment horizontal="general" vertical="bottom" wrapText="0"/>
    </x:xf>
    <x:xf numFmtId="203" fontId="0" fillId="0" borderId="0" xfId="0" applyNumberFormat="1" applyFont="1" applyFill="1" applyBorder="1" applyAlignment="1">
      <x:alignment horizontal="general" vertical="bottom" wrapText="0"/>
    </x:xf>
    <x:xf numFmtId="204" fontId="0" fillId="0" borderId="0" xfId="0" applyNumberFormat="1" applyFont="1" applyFill="1" applyBorder="1" applyAlignment="1">
      <x:alignment horizontal="general" vertical="bottom" wrapText="0"/>
    </x:xf>
    <x:xf numFmtId="203" fontId="22" fillId="0" borderId="0" xfId="0" applyNumberFormat="1" applyFont="1" applyFill="1" applyBorder="1" applyAlignment="1">
      <x:alignment horizontal="general" vertical="bottom" wrapText="0"/>
    </x:xf>
    <x:xf numFmtId="204" fontId="22" fillId="0" borderId="0" xfId="0" applyNumberFormat="1" applyFont="1" applyFill="1" applyBorder="1" applyAlignment="1">
      <x:alignment horizontal="general" vertical="bottom" wrapText="0"/>
    </x:xf>
    <x:xf numFmtId="203" fontId="22" fillId="0" borderId="0" xfId="0" applyNumberFormat="1" applyFont="1" applyFill="1" applyBorder="1" applyAlignment="1">
      <x:alignment horizontal="general" vertical="bottom" wrapText="1"/>
    </x:xf>
    <x:xf numFmtId="204" fontId="22" fillId="0" borderId="0" xfId="0" applyNumberFormat="1" applyFont="1" applyFill="1" applyBorder="1" applyAlignment="1">
      <x:alignment horizontal="general" vertical="bottom" wrapText="1"/>
    </x:xf>
    <x:xf numFmtId="203" fontId="22" fillId="0" borderId="0" xfId="0" applyNumberFormat="1" applyFont="1" applyFill="1" applyBorder="1" applyAlignment="1">
      <x:alignment horizontal="general" vertical="center" wrapText="1"/>
    </x:xf>
    <x:xf numFmtId="204" fontId="22" fillId="0" borderId="0" xfId="0" applyNumberFormat="1" applyFont="1" applyFill="1" applyBorder="1" applyAlignment="1">
      <x:alignment horizontal="general" vertical="center" wrapText="1"/>
    </x:xf>
    <x:xf numFmtId="203" fontId="22" fillId="10" borderId="0" xfId="0" applyNumberFormat="1" applyFont="1" applyFill="1" applyBorder="1" applyAlignment="1">
      <x:alignment horizontal="general" vertical="center" wrapText="1"/>
    </x:xf>
    <x:xf numFmtId="203" fontId="22" fillId="9" borderId="0" xfId="0" applyNumberFormat="1" applyFont="1" applyFill="1" applyBorder="1" applyAlignment="1">
      <x:alignment horizontal="general" vertical="center" wrapText="1"/>
    </x:xf>
    <x:xf numFmtId="204" fontId="22" fillId="9" borderId="0" xfId="0" applyNumberFormat="1" applyFont="1" applyFill="1" applyBorder="1" applyAlignment="1">
      <x:alignment horizontal="general" vertical="center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205" fontId="0" fillId="9" borderId="0" xfId="0" applyNumberFormat="1" applyFont="1" applyFill="1" applyBorder="1" applyAlignment="1">
      <x:alignment horizontal="general" vertical="bottom" wrapText="0"/>
    </x:xf>
    <x:xf numFmtId="164" fontId="22" fillId="10" borderId="0" xfId="0" applyNumberFormat="1" applyFont="1" applyFill="1" applyBorder="1" applyAlignment="1">
      <x:alignment horizontal="general" vertical="bottom" wrapText="0"/>
    </x:xf>
    <x:xf numFmtId="205" fontId="22" fillId="9" borderId="0" xfId="0" applyNumberFormat="1" applyFont="1" applyFill="1" applyBorder="1" applyAlignment="1">
      <x:alignment horizontal="general" vertical="bottom" wrapText="0"/>
    </x:xf>
    <x:xf numFmtId="164" fontId="22" fillId="10" borderId="0" xfId="0" applyNumberFormat="1" applyFont="1" applyFill="1" applyBorder="1" applyAlignment="1">
      <x:alignment horizontal="general" vertical="bottom" wrapText="1"/>
    </x:xf>
    <x:xf numFmtId="205" fontId="22" fillId="9" borderId="0" xfId="0" applyNumberFormat="1" applyFont="1" applyFill="1" applyBorder="1" applyAlignment="1">
      <x:alignment horizontal="general" vertical="bottom" wrapText="1"/>
    </x:xf>
    <x:xf numFmtId="205" fontId="22" fillId="9" borderId="0" xfId="0" applyNumberFormat="1" applyFont="1" applyFill="1" applyBorder="1" applyAlignment="1">
      <x:alignment horizontal="general" vertical="center" wrapText="1"/>
    </x:xf>
    <x:xf numFmtId="164" fontId="31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32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ill>
        <x:patternFill>
          <x:bgColor rgb="FF1F3864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563C1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b7538f3c840bf" /><Relationship Type="http://schemas.openxmlformats.org/officeDocument/2006/relationships/theme" Target="/xl/theme/theme1.xml" Id="R7fcc769b422d4acf" /><Relationship Type="http://schemas.openxmlformats.org/officeDocument/2006/relationships/sharedStrings" Target="/xl/sharedStrings.xml" Id="R8634aa3171284333" /><Relationship Type="http://schemas.openxmlformats.org/officeDocument/2006/relationships/worksheet" Target="/xl/worksheets/sheet1.xml" Id="R6c8ea725fe4641f9" /><Relationship Type="http://schemas.openxmlformats.org/officeDocument/2006/relationships/worksheet" Target="/xl/worksheets/sheet2.xml" Id="Rcc1721e0f3434427" /><Relationship Type="http://schemas.openxmlformats.org/officeDocument/2006/relationships/worksheet" Target="/xl/worksheets/sheet3.xml" Id="Ra55252536a744f97" /><Relationship Type="http://schemas.openxmlformats.org/officeDocument/2006/relationships/worksheet" Target="/xl/worksheets/sheet4.xml" Id="R1b2b6e50bae748c1" /><Relationship Type="http://schemas.openxmlformats.org/officeDocument/2006/relationships/worksheet" Target="/xl/worksheets/sheet5.xml" Id="R1960947e40be4197" /><Relationship Type="http://schemas.openxmlformats.org/officeDocument/2006/relationships/worksheet" Target="/xl/worksheets/sheet6.xml" Id="R99355362d589492a" /><Relationship Type="http://schemas.openxmlformats.org/officeDocument/2006/relationships/worksheet" Target="/xl/worksheets/sheet7.xml" Id="R83c124b2f7ca4e5b" /><Relationship Type="http://schemas.openxmlformats.org/officeDocument/2006/relationships/worksheet" Target="/xl/worksheets/sheet8.xml" Id="R2bf6779d587943c1" /><Relationship Type="http://schemas.openxmlformats.org/officeDocument/2006/relationships/worksheet" Target="/xl/worksheets/sheet9.xml" Id="R2506e856380947a9" /><Relationship Type="http://schemas.openxmlformats.org/officeDocument/2006/relationships/worksheet" Target="/xl/worksheets/sheet10.xml" Id="R6dc3802d2a364259" /><Relationship Type="http://schemas.openxmlformats.org/officeDocument/2006/relationships/worksheet" Target="/xl/worksheets/sheet11.xml" Id="Rb3207874770149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1db53319c545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ce918a425df42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Public descriptions mentioning each capability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Project count</c:v>
          </c:tx>
          <c:invertIfNegative val="0"/>
          <c:cat>
            <c:strRef>
              <c:f>'Delta Strategy'!$A$25:$A$29</c:f>
              <c:strCache>
                <c:ptCount val="0"/>
              </c:strCache>
            </c:strRef>
          </c:cat>
          <c:val>
            <c:numRef>
              <c:f>'Delta Strategy'!$B$25:$B$29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Exploratory September warming, 2001–2024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Sep trend</c:v>
          </c:tx>
          <c:invertIfNegative val="0"/>
          <c:cat>
            <c:strRef>
              <c:f>'NASA Evidence Snapshot'!$J$6:$J$9</c:f>
              <c:strCache>
                <c:ptCount val="0"/>
              </c:strCache>
            </c:strRef>
          </c:cat>
          <c:val>
            <c:numRef>
              <c:f>'NASA Evidence Snapshot'!$K$6:$K$9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1db53319c545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e918a425df42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youtube.com/@TEAM_NEWBIES" TargetMode="External" Id="R79eb0f34bcd04905" /><Relationship Type="http://schemas.openxmlformats.org/officeDocument/2006/relationships/hyperlink" Target="https://github.com/nabeulislam/Nasa_Space_APP_Challenge" TargetMode="External" Id="R0319da43ccd94594" /><Relationship Type="http://schemas.openxmlformats.org/officeDocument/2006/relationships/hyperlink" Target="https://github.com/SaifullahMnsur-Again/EarthScope" TargetMode="External" Id="R397d243ceabe4f88" /><Relationship Type="http://schemas.openxmlformats.org/officeDocument/2006/relationships/hyperlink" Target="https://github.com/SalehSeam/EarthPulse---NASA-Earth-Data-Decoded" TargetMode="External" Id="R8a09e69cde0640f2" /><Relationship Type="http://schemas.openxmlformats.org/officeDocument/2006/relationships/hyperlink" Target="https://github.com/shovon-vubon/echo-earth-nasa-space-apps-2026" TargetMode="External" Id="R357ef9ff97884146" /><Relationship Type="http://schemas.openxmlformats.org/officeDocument/2006/relationships/hyperlink" Target="https://github.com/yasar-sys/living-earth-trend-detective" TargetMode="External" Id="R15fe6a13a4524ea4" /><Relationship Type="http://schemas.openxmlformats.org/officeDocument/2006/relationships/hyperlink" Target="https://github.com/rossycoder/terradetective-ai" TargetMode="External" Id="Rc55e2a72e1524775" /><Relationship Type="http://schemas.openxmlformats.org/officeDocument/2006/relationships/hyperlink" Target="https://github.com/takiibneduha3-ux/earthtrend-detective" TargetMode="External" Id="Rf248a83e6e0c4990" /><Relationship Type="http://schemas.openxmlformats.org/officeDocument/2006/relationships/hyperlink" Target="https://github.com/nasa-earth-detectives/nasa-earth-trend-detective" TargetMode="External" Id="R5f97d9d10ed64144" /><Relationship Type="http://schemas.openxmlformats.org/officeDocument/2006/relationships/hyperlink" Target="https://github.com/cpt9m0/trend-detective" TargetMode="External" Id="R6a98ea9a06a1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d3c9cf4758d48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677404f407684b6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2" hidden="0" customWidth="1"/>
    <x:col min="2" max="2" width="14" hidden="0" customWidth="1"/>
    <x:col min="3" max="3" width="24" hidden="0" customWidth="1"/>
  </x:cols>
  <x:sheetData>
    <x:row r="1" ht="15" hidden="0">
      <x:c r="A1" s="1" t="s">
        <x:v>0</x:v>
      </x:c>
      <x:c r="B1" s="1" t="s">
        <x:v>1</x:v>
      </x:c>
      <x:c r="C1" s="1" t="s">
        <x:v>2</x:v>
      </x:c>
    </x:row>
    <x:row r="2" ht="15" hidden="0">
      <x:c r="A2" s="2" t="s">
        <x:v>3</x:v>
      </x:c>
      <x:c r="B2" s="3" t="n">
        <x:f aca="0">COUNTA('Competing Teams'!B2:B11)</x:f>
        <x:v>10</x:v>
      </x:c>
      <x:c r="C2" s="4" t="n">
        <x:f aca="0">IF($B$2=0,0,B2/$B$2)</x:f>
        <x:v>1</x:v>
      </x:c>
    </x:row>
    <x:row r="3" ht="15" hidden="0">
      <x:c r="A3" s="2" t="s">
        <x:v>4</x:v>
      </x:c>
      <x:c r="B3" s="3" t="n">
        <x:f aca="0">COUNTIF('Competing Teams'!G2:G11,"Yes*")</x:f>
        <x:v>0</x:v>
      </x:c>
      <x:c r="C3" s="4" t="n">
        <x:f aca="0">IF($B$2=0,0,B3/$B$2)</x:f>
        <x:v>0</x:v>
      </x:c>
    </x:row>
    <x:row r="4" ht="15" hidden="0">
      <x:c r="A4" s="2" t="s">
        <x:v>5</x:v>
      </x:c>
      <x:c r="B4" s="3" t="n">
        <x:f aca="0">COUNTIF('Competing Teams'!G2:G11,"Not stated")</x:f>
        <x:v>5</x:v>
      </x:c>
      <x:c r="C4" s="4" t="n">
        <x:f aca="0">IF($B$2=0,0,B4/$B$2)</x:f>
        <x:v>0.5</x:v>
      </x:c>
    </x:row>
    <x:row r="5" ht="15" hidden="0">
      <x:c r="A5" s="2" t="s">
        <x:v>6</x:v>
      </x:c>
      <x:c r="B5" s="3" t="n">
        <x:f aca="0">COUNTIF('Competing Teams'!H2:H11,"*Mann-Kendall*")</x:f>
        <x:v>0</x:v>
      </x:c>
      <x:c r="C5" s="4" t="n">
        <x:f aca="0">IF($B$2=0,0,B5/$B$2)</x:f>
        <x:v>0</x:v>
      </x:c>
    </x:row>
    <x:row r="6" ht="15" hidden="0">
      <x:c r="A6" s="2" t="s">
        <x:v>7</x:v>
      </x:c>
      <x:c r="B6" s="3" t="n">
        <x:f aca="0">COUNTIF('Competing Teams'!I2:I11,"Yes*")</x:f>
        <x:v>0</x:v>
      </x:c>
      <x:c r="C6" s="4" t="n">
        <x:f aca="0">IF($B$2=0,0,B6/$B$2)</x:f>
        <x:v>0</x:v>
      </x:c>
    </x:row>
    <x:row r="7" ht="15" hidden="0">
      <x:c r="A7" s="2" t="s">
        <x:v>8</x:v>
      </x:c>
      <x:c r="B7" s="3" t="n">
        <x:f aca="0">COUNTIF('Competing Teams'!J2:J11,"Yes*")</x:f>
        <x:v>0</x:v>
      </x:c>
      <x:c r="C7" s="4" t="n">
        <x:f aca="0">IF($B$2=0,0,B7/$B$2)</x:f>
        <x:v>0</x:v>
      </x:c>
    </x:row>
    <x:row r="8" ht="15" hidden="0">
      <x:c r="A8" s="2" t="s">
        <x:v>9</x:v>
      </x:c>
      <x:c r="B8" s="3" t="n">
        <x:f aca="0">COUNTIF('Competing Teams'!K2:K11,"Yes*")</x:f>
        <x:v>0</x:v>
      </x:c>
      <x:c r="C8" s="4" t="n">
        <x:f aca="0">IF($B$2=0,0,B8/$B$2)</x:f>
        <x:v>0</x:v>
      </x:c>
    </x:row>
    <x:row r="10" ht="15" hidden="0">
      <x:c r="A10" s="5" t="s">
        <x:v>10</x:v>
      </x:c>
    </x:row>
    <x:row r="11" ht="30" hidden="0" customHeight="1">
      <x:c r="A11" s="6" t="s">
        <x:v>11</x:v>
      </x:c>
      <x:c r="B11" s="6"/>
      <x:c r="C11" s="6"/>
    </x:row>
    <x:row r="12" ht="30" hidden="0" customHeight="1">
      <x:c r="A12" s="6" t="s">
        <x:v>12</x:v>
      </x:c>
      <x:c r="B12" s="6"/>
      <x:c r="C12" s="6"/>
    </x:row>
    <x:row r="13" ht="30" hidden="0" customHeight="1">
      <x:c r="A13" s="6" t="s">
        <x:v>13</x:v>
      </x:c>
      <x:c r="B13" s="6"/>
      <x:c r="C13" s="6"/>
    </x:row>
    <x:row r="14" ht="30" hidden="0" customHeight="1">
      <x:c r="A14" s="6" t="s">
        <x:v>14</x:v>
      </x:c>
      <x:c r="B14" s="6"/>
      <x:c r="C14" s="6"/>
    </x:row>
    <x:row r="15" ht="30" hidden="0" customHeight="1">
      <x:c r="A15" s="6" t="s">
        <x:v>15</x:v>
      </x:c>
      <x:c r="B15" s="6"/>
      <x:c r="C15" s="6"/>
    </x:row>
    <x:row r="16" ht="30" hidden="0" customHeight="1">
      <x:c r="A16" s="6" t="s">
        <x:v>16</x:v>
      </x:c>
      <x:c r="B16" s="6"/>
      <x:c r="C16" s="6"/>
    </x:row>
  </x:sheetData>
  <x:mergeCells>
    <x:mergeCell ref="A11:C11"/>
    <x:mergeCell ref="A12:C12"/>
    <x:mergeCell ref="A13:C13"/>
    <x:mergeCell ref="A14:C14"/>
    <x:mergeCell ref="A15:C15"/>
    <x:mergeCell ref="A16:C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ColWidth="8.6796875" defaultRowHeight="15"/>
  <x:cols>
    <x:col min="1" max="1" width="5" hidden="0" customWidth="1"/>
    <x:col min="2" max="2" width="28" hidden="0" customWidth="1"/>
    <x:col min="3" max="3" width="42" hidden="0" customWidth="1"/>
    <x:col min="4" max="4" width="55" hidden="0" customWidth="1"/>
    <x:col min="5" max="5" width="42" hidden="0" customWidth="1"/>
    <x:col min="6" max="6" width="32" hidden="0" customWidth="1"/>
    <x:col min="7" max="7" width="20" hidden="0" customWidth="1"/>
    <x:col min="8" max="8" width="28" hidden="0" customWidth="1"/>
    <x:col min="9" max="9" width="26" hidden="0" customWidth="1"/>
    <x:col min="10" max="10" width="24" hidden="0" customWidth="1"/>
    <x:col min="11" max="11" width="22" hidden="0" customWidth="1"/>
  </x:cols>
  <x:sheetData>
    <x:row r="1" ht="45" hidden="0" customHeight="1">
      <x:c r="A1" s="7" t="s">
        <x:v>17</x:v>
      </x:c>
      <x:c r="B1" s="7" t="s">
        <x:v>18</x:v>
      </x:c>
      <x:c r="C1" s="7" t="s">
        <x:v>19</x:v>
      </x:c>
      <x:c r="D1" s="7" t="s">
        <x:v>20</x:v>
      </x:c>
      <x:c r="E1" s="7" t="s">
        <x:v>21</x:v>
      </x:c>
      <x:c r="F1" s="7" t="s">
        <x:v>22</x:v>
      </x:c>
      <x:c r="G1" s="7" t="s">
        <x:v>23</x:v>
      </x:c>
      <x:c r="H1" s="7" t="s">
        <x:v>24</x:v>
      </x:c>
      <x:c r="I1" s="7" t="s">
        <x:v>25</x:v>
      </x:c>
      <x:c r="J1" s="7" t="s">
        <x:v>26</x:v>
      </x:c>
      <x:c r="K1" s="7" t="s">
        <x:v>27</x:v>
      </x:c>
    </x:row>
    <x:row r="2" ht="35.04999923706055" hidden="0">
      <x:c r="A2" s="8" t="n">
        <x:v>1</x:v>
      </x:c>
      <x:c r="B2" s="9" t="s">
        <x:v>28</x:v>
      </x:c>
      <x:c r="C2" s="10" t="s">
        <x:v>29</x:v>
      </x:c>
      <x:c r="D2" s="9" t="s">
        <x:v>30</x:v>
      </x:c>
      <x:c r="E2" s="9" t="s">
        <x:v>31</x:v>
      </x:c>
      <x:c r="F2" s="9" t="s">
        <x:v>32</x:v>
      </x:c>
      <x:c r="G2" s="9" t="s">
        <x:v>33</x:v>
      </x:c>
      <x:c r="H2" s="9" t="s">
        <x:v>34</x:v>
      </x:c>
      <x:c r="I2" s="9" t="s">
        <x:v>35</x:v>
      </x:c>
      <x:c r="J2" s="9" t="s">
        <x:v>35</x:v>
      </x:c>
      <x:c r="K2" s="9" t="s">
        <x:v>35</x:v>
      </x:c>
    </x:row>
    <x:row r="3" ht="23.850000381469727" hidden="0">
      <x:c r="A3" s="8" t="n">
        <x:v>2</x:v>
      </x:c>
      <x:c r="B3" s="9" t="s">
        <x:v>36</x:v>
      </x:c>
      <x:c r="C3" s="10" t="s">
        <x:v>37</x:v>
      </x:c>
      <x:c r="D3" s="9" t="s">
        <x:v>38</x:v>
      </x:c>
      <x:c r="E3" s="9" t="s">
        <x:v>39</x:v>
      </x:c>
      <x:c r="F3" s="9" t="s">
        <x:v>40</x:v>
      </x:c>
      <x:c r="G3" s="9" t="s">
        <x:v>33</x:v>
      </x:c>
      <x:c r="H3" s="9" t="s">
        <x:v>41</x:v>
      </x:c>
      <x:c r="I3" s="9" t="s">
        <x:v>42</x:v>
      </x:c>
      <x:c r="J3" s="9" t="s">
        <x:v>35</x:v>
      </x:c>
      <x:c r="K3" s="9" t="s">
        <x:v>35</x:v>
      </x:c>
    </x:row>
    <x:row r="4" ht="23.850000381469727" hidden="0">
      <x:c r="A4" s="8" t="n">
        <x:v>3</x:v>
      </x:c>
      <x:c r="B4" s="9" t="s">
        <x:v>43</x:v>
      </x:c>
      <x:c r="C4" s="10" t="s">
        <x:v>44</x:v>
      </x:c>
      <x:c r="D4" s="9" t="s">
        <x:v>45</x:v>
      </x:c>
      <x:c r="E4" s="9" t="s">
        <x:v>46</x:v>
      </x:c>
      <x:c r="F4" s="9" t="s">
        <x:v>47</x:v>
      </x:c>
      <x:c r="G4" s="9" t="s">
        <x:v>48</x:v>
      </x:c>
      <x:c r="H4" s="9" t="s">
        <x:v>49</x:v>
      </x:c>
      <x:c r="I4" s="9" t="s">
        <x:v>35</x:v>
      </x:c>
      <x:c r="J4" s="9" t="s">
        <x:v>35</x:v>
      </x:c>
      <x:c r="K4" s="9" t="s">
        <x:v>35</x:v>
      </x:c>
    </x:row>
    <x:row r="5" ht="23.850000381469727" hidden="0">
      <x:c r="A5" s="8" t="n">
        <x:v>4</x:v>
      </x:c>
      <x:c r="B5" s="9" t="s">
        <x:v>50</x:v>
      </x:c>
      <x:c r="C5" s="10" t="s">
        <x:v>51</x:v>
      </x:c>
      <x:c r="D5" s="9" t="s">
        <x:v>52</x:v>
      </x:c>
      <x:c r="E5" s="9" t="s">
        <x:v>53</x:v>
      </x:c>
      <x:c r="F5" s="9" t="s">
        <x:v>54</x:v>
      </x:c>
      <x:c r="G5" s="9" t="s">
        <x:v>48</x:v>
      </x:c>
      <x:c r="H5" s="9" t="s">
        <x:v>55</x:v>
      </x:c>
      <x:c r="I5" s="9" t="s">
        <x:v>33</x:v>
      </x:c>
      <x:c r="J5" s="9" t="s">
        <x:v>35</x:v>
      </x:c>
      <x:c r="K5" s="9" t="s">
        <x:v>35</x:v>
      </x:c>
    </x:row>
    <x:row r="6" ht="15" hidden="0">
      <x:c r="A6" s="8" t="n">
        <x:v>5</x:v>
      </x:c>
      <x:c r="B6" s="9" t="s">
        <x:v>56</x:v>
      </x:c>
      <x:c r="C6" s="10" t="s">
        <x:v>57</x:v>
      </x:c>
      <x:c r="D6" s="9" t="s">
        <x:v>58</x:v>
      </x:c>
      <x:c r="E6" s="9" t="s">
        <x:v>59</x:v>
      </x:c>
      <x:c r="F6" s="9" t="s">
        <x:v>60</x:v>
      </x:c>
      <x:c r="G6" s="9" t="s">
        <x:v>61</x:v>
      </x:c>
      <x:c r="H6" s="9" t="s">
        <x:v>48</x:v>
      </x:c>
      <x:c r="I6" s="9" t="s">
        <x:v>62</x:v>
      </x:c>
      <x:c r="J6" s="9" t="s">
        <x:v>35</x:v>
      </x:c>
      <x:c r="K6" s="9" t="s">
        <x:v>35</x:v>
      </x:c>
    </x:row>
    <x:row r="7" ht="23.850000381469727" hidden="0">
      <x:c r="A7" s="8" t="n">
        <x:v>6</x:v>
      </x:c>
      <x:c r="B7" s="9" t="s">
        <x:v>63</x:v>
      </x:c>
      <x:c r="C7" s="10" t="s">
        <x:v>64</x:v>
      </x:c>
      <x:c r="D7" s="9" t="s">
        <x:v>65</x:v>
      </x:c>
      <x:c r="E7" s="9" t="s">
        <x:v>66</x:v>
      </x:c>
      <x:c r="F7" s="9" t="s">
        <x:v>67</x:v>
      </x:c>
      <x:c r="G7" s="9" t="s">
        <x:v>68</x:v>
      </x:c>
      <x:c r="H7" s="9" t="s">
        <x:v>49</x:v>
      </x:c>
      <x:c r="I7" s="9" t="s">
        <x:v>69</x:v>
      </x:c>
      <x:c r="J7" s="9" t="s">
        <x:v>35</x:v>
      </x:c>
      <x:c r="K7" s="9" t="s">
        <x:v>35</x:v>
      </x:c>
    </x:row>
    <x:row r="8" ht="23.850000381469727" hidden="0">
      <x:c r="A8" s="8" t="n">
        <x:v>7</x:v>
      </x:c>
      <x:c r="B8" s="9" t="s">
        <x:v>70</x:v>
      </x:c>
      <x:c r="C8" s="10" t="s">
        <x:v>71</x:v>
      </x:c>
      <x:c r="D8" s="9" t="s">
        <x:v>72</x:v>
      </x:c>
      <x:c r="E8" s="9" t="s">
        <x:v>73</x:v>
      </x:c>
      <x:c r="F8" s="9" t="s">
        <x:v>74</x:v>
      </x:c>
      <x:c r="G8" s="9" t="s">
        <x:v>68</x:v>
      </x:c>
      <x:c r="H8" s="9" t="s">
        <x:v>75</x:v>
      </x:c>
      <x:c r="I8" s="9" t="s">
        <x:v>76</x:v>
      </x:c>
      <x:c r="J8" s="9" t="s">
        <x:v>35</x:v>
      </x:c>
      <x:c r="K8" s="9" t="s">
        <x:v>35</x:v>
      </x:c>
    </x:row>
    <x:row r="9" ht="23.850000381469727" hidden="0">
      <x:c r="A9" s="8" t="n">
        <x:v>8</x:v>
      </x:c>
      <x:c r="B9" s="9" t="s">
        <x:v>77</x:v>
      </x:c>
      <x:c r="C9" s="10" t="s">
        <x:v>78</x:v>
      </x:c>
      <x:c r="D9" s="9" t="s">
        <x:v>79</x:v>
      </x:c>
      <x:c r="E9" s="9" t="s">
        <x:v>48</x:v>
      </x:c>
      <x:c r="F9" s="9" t="s">
        <x:v>80</x:v>
      </x:c>
      <x:c r="G9" s="9" t="s">
        <x:v>48</x:v>
      </x:c>
      <x:c r="H9" s="9" t="s">
        <x:v>81</x:v>
      </x:c>
      <x:c r="I9" s="9" t="s">
        <x:v>35</x:v>
      </x:c>
      <x:c r="J9" s="9" t="s">
        <x:v>35</x:v>
      </x:c>
      <x:c r="K9" s="9" t="s">
        <x:v>35</x:v>
      </x:c>
    </x:row>
    <x:row r="10" ht="15" hidden="0">
      <x:c r="A10" s="8" t="n">
        <x:v>9</x:v>
      </x:c>
      <x:c r="B10" s="9" t="s">
        <x:v>82</x:v>
      </x:c>
      <x:c r="C10" s="10" t="s">
        <x:v>83</x:v>
      </x:c>
      <x:c r="D10" s="9" t="s">
        <x:v>84</x:v>
      </x:c>
      <x:c r="E10" s="9" t="s">
        <x:v>85</x:v>
      </x:c>
      <x:c r="F10" s="9" t="s">
        <x:v>86</x:v>
      </x:c>
      <x:c r="G10" s="9" t="s">
        <x:v>48</x:v>
      </x:c>
      <x:c r="H10" s="9" t="s">
        <x:v>48</x:v>
      </x:c>
      <x:c r="I10" s="9" t="s">
        <x:v>35</x:v>
      </x:c>
      <x:c r="J10" s="9" t="s">
        <x:v>35</x:v>
      </x:c>
      <x:c r="K10" s="9" t="s">
        <x:v>35</x:v>
      </x:c>
    </x:row>
    <x:row r="11" ht="15" hidden="0">
      <x:c r="A11" s="8" t="n">
        <x:v>10</x:v>
      </x:c>
      <x:c r="B11" s="9" t="s">
        <x:v>87</x:v>
      </x:c>
      <x:c r="C11" s="10" t="s">
        <x:v>88</x:v>
      </x:c>
      <x:c r="D11" s="9" t="s">
        <x:v>89</x:v>
      </x:c>
      <x:c r="E11" s="9" t="s">
        <x:v>90</x:v>
      </x:c>
      <x:c r="F11" s="9" t="s">
        <x:v>91</x:v>
      </x:c>
      <x:c r="G11" s="9" t="s">
        <x:v>48</x:v>
      </x:c>
      <x:c r="H11" s="9" t="s">
        <x:v>48</x:v>
      </x:c>
      <x:c r="I11" s="9" t="s">
        <x:v>35</x:v>
      </x:c>
      <x:c r="J11" s="9" t="s">
        <x:v>35</x:v>
      </x:c>
      <x:c r="K11" s="9" t="s">
        <x:v>35</x:v>
      </x:c>
    </x:row>
  </x:sheetData>
  <x:hyperlinks>
    <x:hyperlink xmlns:r="http://schemas.openxmlformats.org/officeDocument/2006/relationships" ref="C2" r:id="R79eb0f34bcd04905"/>
    <x:hyperlink xmlns:r="http://schemas.openxmlformats.org/officeDocument/2006/relationships" ref="C3" r:id="R0319da43ccd94594"/>
    <x:hyperlink xmlns:r="http://schemas.openxmlformats.org/officeDocument/2006/relationships" ref="C4" r:id="R397d243ceabe4f88"/>
    <x:hyperlink xmlns:r="http://schemas.openxmlformats.org/officeDocument/2006/relationships" ref="C5" r:id="R8a09e69cde0640f2"/>
    <x:hyperlink xmlns:r="http://schemas.openxmlformats.org/officeDocument/2006/relationships" ref="C6" r:id="R357ef9ff97884146"/>
    <x:hyperlink xmlns:r="http://schemas.openxmlformats.org/officeDocument/2006/relationships" ref="C7" r:id="R15fe6a13a4524ea4"/>
    <x:hyperlink xmlns:r="http://schemas.openxmlformats.org/officeDocument/2006/relationships" ref="C8" r:id="Rc55e2a72e1524775"/>
    <x:hyperlink xmlns:r="http://schemas.openxmlformats.org/officeDocument/2006/relationships" ref="C9" r:id="Rf248a83e6e0c4990"/>
    <x:hyperlink xmlns:r="http://schemas.openxmlformats.org/officeDocument/2006/relationships" ref="C10" r:id="R5f97d9d10ed64144"/>
    <x:hyperlink xmlns:r="http://schemas.openxmlformats.org/officeDocument/2006/relationships" ref="C11" r:id="R6a98ea9a06a1435f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6" hidden="0" customWidth="1"/>
    <x:col min="2" max="2" width="75" hidden="0" customWidth="1"/>
    <x:col min="3" max="3" width="70" hidden="0" customWidth="1"/>
  </x:cols>
  <x:sheetData>
    <x:row r="1" ht="15" hidden="0">
      <x:c r="A1" s="1" t="s">
        <x:v>92</x:v>
      </x:c>
      <x:c r="B1" s="1" t="s">
        <x:v>93</x:v>
      </x:c>
      <x:c r="C1" s="1" t="s">
        <x:v>94</x:v>
      </x:c>
    </x:row>
    <x:row r="2" ht="23.850000381469727" hidden="0">
      <x:c r="A2" s="11" t="s">
        <x:v>95</x:v>
      </x:c>
      <x:c r="B2" s="9" t="s">
        <x:v>96</x:v>
      </x:c>
      <x:c r="C2" s="9" t="s">
        <x:v>97</x:v>
      </x:c>
    </x:row>
    <x:row r="3" ht="15" hidden="0">
      <x:c r="A3" s="11" t="s">
        <x:v>95</x:v>
      </x:c>
      <x:c r="B3" s="9" t="s">
        <x:v>98</x:v>
      </x:c>
      <x:c r="C3" s="9" t="s">
        <x:v>99</x:v>
      </x:c>
    </x:row>
    <x:row r="4" ht="15" hidden="0">
      <x:c r="A4" s="11" t="s">
        <x:v>95</x:v>
      </x:c>
      <x:c r="B4" s="9" t="s">
        <x:v>100</x:v>
      </x:c>
      <x:c r="C4" s="9" t="s">
        <x:v>101</x:v>
      </x:c>
    </x:row>
    <x:row r="5" ht="23.850000381469727" hidden="0">
      <x:c r="A5" s="11" t="s">
        <x:v>102</x:v>
      </x:c>
      <x:c r="B5" s="9" t="s">
        <x:v>103</x:v>
      </x:c>
      <x:c r="C5" s="9" t="s">
        <x:v>104</x:v>
      </x:c>
    </x:row>
    <x:row r="6" ht="23.850000381469727" hidden="0">
      <x:c r="A6" s="11" t="s">
        <x:v>105</x:v>
      </x:c>
      <x:c r="B6" s="9" t="s">
        <x:v>106</x:v>
      </x:c>
      <x:c r="C6" s="9" t="s">
        <x:v>107</x:v>
      </x:c>
    </x:row>
    <x:row r="7" ht="15" hidden="0">
      <x:c r="A7" s="11" t="s">
        <x:v>105</x:v>
      </x:c>
      <x:c r="B7" s="9" t="s">
        <x:v>108</x:v>
      </x:c>
      <x:c r="C7" s="9" t="s">
        <x:v>109</x:v>
      </x:c>
    </x:row>
    <x:row r="8" ht="15" hidden="0">
      <x:c r="A8" s="11" t="s">
        <x:v>105</x:v>
      </x:c>
      <x:c r="B8" s="9" t="s">
        <x:v>110</x:v>
      </x:c>
      <x:c r="C8" s="9" t="s">
        <x:v>111</x:v>
      </x:c>
    </x:row>
    <x:row r="9" ht="15" hidden="0">
      <x:c r="A9" s="11" t="s">
        <x:v>105</x:v>
      </x:c>
      <x:c r="B9" s="9" t="s">
        <x:v>112</x:v>
      </x:c>
      <x:c r="C9" s="9" t="s">
        <x:v>113</x:v>
      </x:c>
    </x:row>
    <x:row r="10" ht="15" hidden="0">
      <x:c r="A10" s="11" t="s">
        <x:v>114</x:v>
      </x:c>
      <x:c r="B10" s="9" t="s">
        <x:v>115</x:v>
      </x:c>
      <x:c r="C10" s="9" t="s">
        <x:v>116</x:v>
      </x:c>
    </x:row>
    <x:row r="11" ht="15" hidden="0">
      <x:c r="A11" s="11" t="s">
        <x:v>114</x:v>
      </x:c>
      <x:c r="B11" s="9" t="s">
        <x:v>117</x:v>
      </x:c>
      <x:c r="C11" s="9" t="s">
        <x:v>118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24F"/>
  </x:sheetPr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48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" hidden="0" customWidth="1"/>
    <x:col min="10" max="10" width="17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2">
      <x:c r="A2" s="12" t="str">
        <x:v>Delta Detectives: competitive strategy</x:v>
      </x:c>
    </x:row>
    <x:row r="3">
      <x:c r="A3" s="13" t="str">
        <x:v>My Climate Story | Be an Earth System Trend Detective | Research snapshot: 23 Oct 2026</x:v>
      </x:c>
      <x:c r="B3" s="13"/>
      <x:c r="C3" s="13"/>
      <x:c r="D3" s="13"/>
      <x:c r="E3" s="13"/>
      <x:c r="F3" s="13"/>
      <x:c r="G3" s="13"/>
      <x:c r="H3" s="13"/>
    </x:row>
    <x:row r="5" ht="57" customHeight="1">
      <x:c r="A5" s="14" t="str">
        <x:v>Recommended focus</x:v>
      </x:c>
      <x:c r="B5" s="17" t="str">
        <x:v>A single high-quality Bangladesh riverbank change case: matched-season NASA Landsat imagery, measured change, uncertainty, Bangla-English human story, and repeatable global method.</x:v>
      </x:c>
      <x:c r="C5" s="17"/>
      <x:c r="D5" s="17"/>
      <x:c r="E5" s="17"/>
      <x:c r="F5" s="17"/>
      <x:c r="G5" s="17"/>
      <x:c r="H5" s="17"/>
    </x:row>
    <x:row r="7" ht="31" customHeight="1">
      <x:c r="A7" s="22" t="str">
        <x:v>Important finding</x:v>
      </x:c>
      <x:c r="B7" s="22" t="str">
        <x:v>Evidence from public projects</x:v>
      </x:c>
      <x:c r="C7" s="22" t="str">
        <x:v>Implication for our team</x:v>
      </x:c>
      <x:c r="D7" s="22" t="str">
        <x:v>Decision</x:v>
      </x:c>
    </x:row>
    <x:row r="8" ht="77" customHeight="1">
      <x:c r="A8" s="25" t="str">
        <x:v>Bangladesh is already covered</x:v>
      </x:c>
      <x:c r="B8" s="25" t="str">
        <x:v>TerraBangla and Orion target Bangladesh; ECHO EARTH lists Bangladesh/Dhaka.</x:v>
      </x:c>
      <x:c r="C8" s="25" t="str">
        <x:v>“Bangladesh” or “64 districts” alone is not a clear differentiator.</x:v>
      </x:c>
      <x:c r="D8" s="25" t="str">
        <x:v>Choose one site with convincing before/after evidence.</x:v>
      </x:c>
    </x:row>
    <x:row r="9" ht="77" customHeight="1">
      <x:c r="A9" s="26" t="str">
        <x:v>Statistics are expected</x:v>
      </x:c>
      <x:c r="B9" s="26" t="str">
        <x:v>Orion, EarthScope and TerraDetective AI describe trend tests, uncertainty or significance.</x:v>
      </x:c>
      <x:c r="C9" s="26" t="str">
        <x:v>Mann-Kendall, Theil-Sen and p-values alone will not distinguish our product.</x:v>
      </x:c>
      <x:c r="D9" s="26" t="str">
        <x:v>Make statistics understandable and reproducible.</x:v>
      </x:c>
    </x:row>
    <x:row r="10" ht="77" customHeight="1">
      <x:c r="A10" s="25" t="str">
        <x:v>Globe, bilingual and AI ideas overlap</x:v>
      </x:c>
      <x:c r="B10" s="25" t="str">
        <x:v>TerraBangla describes 3D and Bangla-English; Living Earth uses globe; TerraDetective AI already describes future-city comparisons.</x:v>
      </x:c>
      <x:c r="C10" s="25" t="str">
        <x:v>Do not pitch a globe, Bangla, generic AI story or future twin as inventions.</x:v>
      </x:c>
      <x:c r="D10" s="25" t="str">
        <x:v>Use 3D as navigation into the evidence.</x:v>
      </x:c>
    </x:row>
    <x:row r="11" ht="77" customHeight="1">
      <x:c r="A11" s="26" t="str">
        <x:v>Important documentation gap</x:v>
      </x:c>
      <x:c r="B11" s="26" t="str">
        <x:v>No tracked project description expressly specifies before/after satellite evidence plus consent-based local memories and offline support.</x:v>
      </x:c>
      <x:c r="C11" s="26" t="str">
        <x:v>This is an opportunity to investigate, NOT proof no competitor has these capabilities.</x:v>
      </x:c>
      <x:c r="D11" s="26" t="str">
        <x:v>Ship a working evidence-led demonstration.</x:v>
      </x:c>
    </x:row>
    <x:row r="12" ht="77" customHeight="1">
      <x:c r="A12" s="25" t="str">
        <x:v>Evidence quality can win trust</x:v>
      </x:c>
      <x:c r="B12" s="25" t="str">
        <x:v>Public projects vary: some show peer-reviewed-style methods, some are scaffolds. NASA POWER historical series need independent checks.</x:v>
      </x:c>
      <x:c r="C12" s="25" t="str">
        <x:v>Overclaiming a 40-year causal climate story would weaken our entry.</x:v>
      </x:c>
      <x:c r="D12" s="25" t="str">
        <x:v>Show dates, resolution, seasonal matching and limitations.</x:v>
      </x:c>
    </x:row>
    <x:row r="15" ht="31" customHeight="1">
      <x:c r="A15" s="22" t="str">
        <x:v>Originality candidate</x:v>
      </x:c>
      <x:c r="B15" s="22" t="str">
        <x:v>User value</x:v>
      </x:c>
      <x:c r="C15" s="22" t="str">
        <x:v>Evidence required in demo</x:v>
      </x:c>
      <x:c r="D15" s="22" t="str">
        <x:v>How to describe it honestly</x:v>
      </x:c>
    </x:row>
    <x:row r="16" ht="76" customHeight="1">
      <x:c r="A16" s="25" t="str">
        <x:v>Hometown Time Machine</x:v>
      </x:c>
      <x:c r="B16" s="25" t="str">
        <x:v>A resident explores change in a real riverbank location.</x:v>
      </x:c>
      <x:c r="C16" s="25" t="str">
        <x:v>1980s / recent Landsat scenes matched by season; water/land mask and area delta.</x:v>
      </x:c>
      <x:c r="D16" s="25" t="str">
        <x:v>Distinct combination to test against competitors.</x:v>
      </x:c>
    </x:row>
    <x:row r="17" ht="76" customHeight="1">
      <x:c r="A17" s="26" t="str">
        <x:v>Evidence Passport</x:v>
      </x:c>
      <x:c r="B17" s="26" t="str">
        <x:v>A student can check every climate claim.</x:v>
      </x:c>
      <x:c r="C17" s="26" t="str">
        <x:v>Data product, acquisition dates, AOI, processing steps, validation sample, uncertainty.</x:v>
      </x:c>
      <x:c r="D17" s="26" t="str">
        <x:v>Research transparency is the differentiator.</x:v>
      </x:c>
    </x:row>
    <x:row r="18" ht="76" customHeight="1">
      <x:c r="A18" s="25" t="str">
        <x:v>Community Memory Overlay</x:v>
      </x:c>
      <x:c r="B18" s="25" t="str">
        <x:v>Local stories make spatial change personal.</x:v>
      </x:c>
      <x:c r="C18" s="25" t="str">
        <x:v>Opt-in recorded memories, separate from satellite evidence, with consent and no geotag exposure.</x:v>
      </x:c>
      <x:c r="D18" s="25" t="str">
        <x:v>Human testimony is context, not scientific proof.</x:v>
      </x:c>
    </x:row>
    <x:row r="19" ht="76" customHeight="1">
      <x:c r="A19" s="26" t="str">
        <x:v>Low-bandwidth classroom pack</x:v>
      </x:c>
      <x:c r="B19" s="26" t="str">
        <x:v>Rural schools can use results without constant internet.</x:v>
      </x:c>
      <x:c r="C19" s="26" t="str">
        <x:v>Compressed scene pairs, lightweight charts, Bangla text/audio transcript, offline replay.</x:v>
      </x:c>
      <x:c r="D19" s="26" t="str">
        <x:v>Not documented by tracked competitors; verify before uniqueness claim.</x:v>
      </x:c>
    </x:row>
    <x:row r="20" ht="76" customHeight="1">
      <x:c r="A20" s="25" t="str">
        <x:v>Local-to-global case transfer</x:v>
      </x:c>
      <x:c r="B20" s="25" t="str">
        <x:v>A Bangladeshi case teaches reusable global methods.</x:v>
      </x:c>
      <x:c r="C20" s="25" t="str">
        <x:v>Same pipeline demonstrated at a second delta location outside Bangladesh.</x:v>
      </x:c>
      <x:c r="D20" s="25" t="str">
        <x:v>Globalize method, not unsupported causal conclusions.</x:v>
      </x:c>
    </x:row>
    <x:row r="23">
      <x:c r="A23" s="27" t="str">
        <x:v>Observed competitor mentions (10 projects)</x:v>
      </x:c>
    </x:row>
    <x:row r="24" ht="31" customHeight="1">
      <x:c r="A24" s="22" t="str">
        <x:v>Feature explicitly mentioned</x:v>
      </x:c>
      <x:c r="B24" s="22" t="str">
        <x:v>Project count</x:v>
      </x:c>
    </x:row>
    <x:row r="25" ht="27" customHeight="1">
      <x:c r="A25" s="23" t="str">
        <x:v>Plain-language explanation</x:v>
      </x:c>
      <x:c r="B25" s="29" t="n">
        <x:v>4</x:v>
      </x:c>
    </x:row>
    <x:row r="26" ht="27" customHeight="1">
      <x:c r="A26" s="23" t="str">
        <x:v>Bangladesh focus</x:v>
      </x:c>
      <x:c r="B26" s="29" t="n">
        <x:v>3</x:v>
      </x:c>
    </x:row>
    <x:row r="27" ht="27" customHeight="1">
      <x:c r="A27" s="23" t="str">
        <x:v>Mann-Kendall mentioned</x:v>
      </x:c>
      <x:c r="B27" s="29" t="n">
        <x:v>3</x:v>
      </x:c>
    </x:row>
    <x:row r="28" ht="27" customHeight="1">
      <x:c r="A28" s="23" t="str">
        <x:v>Before/after satellite imagery</x:v>
      </x:c>
      <x:c r="B28" s="29" t="n">
        <x:v>0</x:v>
      </x:c>
    </x:row>
    <x:row r="29" ht="27" customHeight="1">
      <x:c r="A29" s="23" t="str">
        <x:v>Low-bandwidth design</x:v>
      </x:c>
      <x:c r="B29" s="29" t="n">
        <x:v>0</x:v>
      </x:c>
    </x:row>
    <x:row r="31" ht="32" customHeight="1">
      <x:c r="A31" s="30" t="str">
        <x:v>Important: “0 mentioned” is not “0 teams have it.” Project summaries are incomplete and change over time.</x:v>
      </x:c>
      <x:c r="B31" s="30"/>
      <x:c r="C31" s="30"/>
      <x:c r="D31" s="30"/>
      <x:c r="E31" s="30"/>
      <x:c r="F31" s="30"/>
      <x:c r="G31" s="30"/>
      <x:c r="H31" s="30"/>
    </x:row>
    <x:row r="39">
      <x:c r="A39" s="65" t="str">
        <x:v>Further detail: Important Discoveries | Feature Comparison | Ideas &amp; Recommendations | NASA Evidence Snapshot | Formula Lab.</x:v>
      </x:c>
      <x:c r="B39" s="65"/>
      <x:c r="C39" s="65"/>
      <x:c r="D39" s="65"/>
      <x:c r="E39" s="65"/>
      <x:c r="F39" s="65"/>
      <x:c r="G39" s="65"/>
      <x:c r="H39" s="65"/>
    </x:row>
  </x:sheetData>
  <x:pageMargins left="0.7" right="0.7" top="0.75" bottom="0.75" header="0.3" footer="0.3"/>
  <x:drawing xmlns:r="http://schemas.openxmlformats.org/officeDocument/2006/relationships" r:id="R9d3c9cf4758d4853"/>
</x:worksheet>
</file>

<file path=xl/worksheets/sheet5.xml><?xml version="1.0" encoding="utf-8"?>
<x:worksheet xmlns:x="http://schemas.openxmlformats.org/spreadsheetml/2006/main">
  <x:sheetPr>
    <x:tabColor rgb="FF23547C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45" hidden="0" customWidth="1"/>
    <x:col min="3" max="3" width="58" hidden="0" customWidth="1"/>
    <x:col min="4" max="4" width="23" hidden="0" customWidth="1"/>
    <x:col min="5" max="5" width="52" hidden="0" customWidth="1"/>
    <x:col min="6" max="6" width="24" hidden="0" customWidth="1"/>
    <x:col min="7" max="7" width="58" hidden="0" customWidth="1"/>
  </x:cols>
  <x:sheetData>
    <x:row r="2">
      <x:c r="A2" s="12" t="str">
        <x:v>Competitor review: where Delta Detectives can stand out</x:v>
      </x:c>
    </x:row>
    <x:row r="3">
      <x:c r="A3" s="13" t="str">
        <x:v>Scope: 10 public projects found, not a verified list of official finalists. “Not described” is a research question, not a demonstrated defect.</x:v>
      </x:c>
      <x:c r="B3" s="13"/>
      <x:c r="C3" s="13"/>
      <x:c r="D3" s="13"/>
      <x:c r="E3" s="13"/>
      <x:c r="F3" s="13"/>
      <x:c r="G3" s="13"/>
    </x:row>
    <x:row r="5" ht="31" customHeight="1">
      <x:c r="A5" s="22" t="str">
        <x:v>Team / project</x:v>
      </x:c>
      <x:c r="B5" s="22" t="str">
        <x:v>What they already offer</x:v>
      </x:c>
      <x:c r="C5" s="22" t="str">
        <x:v>Gap or limitation to examine</x:v>
      </x:c>
      <x:c r="D5" s="22" t="str">
        <x:v>Evidence status</x:v>
      </x:c>
      <x:c r="E5" s="22" t="str">
        <x:v>Action for Delta Detectives</x:v>
      </x:c>
      <x:c r="F5" s="22" t="str">
        <x:v>Direct overlap risk</x:v>
      </x:c>
      <x:c r="G5" s="22" t="str">
        <x:v>Public project / source</x:v>
      </x:c>
    </x:row>
    <x:row r="6" ht="91" customHeight="1">
      <x:c r="A6" s="25" t="str">
        <x:v>TerraBangla</x:v>
      </x:c>
      <x:c r="B6" s="25" t="str">
        <x:v>Bangladesh districts, 3D globe, Bangla-English, NASA POWER/MODIS/VIIRS and trend tests.</x:v>
      </x:c>
      <x:c r="C6" s="25" t="str">
        <x:v>A verifiable riverbank before/after evidence chain and low-bandwidth workflow are not described. Video not reviewed.</x:v>
      </x:c>
      <x:c r="D6" s="31" t="str">
        <x:v>Not documented / verify</x:v>
      </x:c>
      <x:c r="E6" s="25" t="str">
        <x:v>Build one quantified NASA Landsat location with a confidence card and lightweight Bangla story.</x:v>
      </x:c>
      <x:c r="F6" s="33" t="str">
        <x:v>High: Bangladesh, globe, bilingual</x:v>
      </x:c>
      <x:c r="G6" s="25" t="str">
        <x:v>https://www.youtube.com/@TEAM_NEWBIES</x:v>
      </x:c>
    </x:row>
    <x:row r="7" ht="91" customHeight="1">
      <x:c r="A7" s="26" t="str">
        <x:v>Orion Space</x:v>
      </x:c>
      <x:c r="B7" s="26" t="str">
        <x:v>Bangladesh MERRA-2 T2M 2001–2025; 34 cells; Theil-Sen, Mann-Kendall, FDR; September warming result.</x:v>
      </x:c>
      <x:c r="C7" s="26" t="str">
        <x:v>Current README describes the analyzed variable as T2M only; other layers may be scaffolded.</x:v>
      </x:c>
      <x:c r="D7" s="32" t="str">
        <x:v>README-documented scope</x:v>
      </x:c>
      <x:c r="E7" s="26" t="str">
        <x:v>Show spatial river/land change using NASA Landsat, seasonally aligned, with independent validation.</x:v>
      </x:c>
      <x:c r="F7" s="34" t="str">
        <x:v>High: Bangladesh trend significance</x:v>
      </x:c>
      <x:c r="G7" s="26" t="str">
        <x:v>https://github.com/MD-Mushfiqur123/orion-space</x:v>
      </x:c>
    </x:row>
    <x:row r="8" ht="91" customHeight="1">
      <x:c r="A8" s="25" t="str">
        <x:v>EarthScope</x:v>
      </x:c>
      <x:c r="B8" s="25" t="str">
        <x:v>Trend maps, insufficient-data flags, autocorrelation/seasonality work, CSV/GeoJSON export.</x:v>
      </x:c>
      <x:c r="C8" s="25" t="str">
        <x:v>A child-friendly, site-specific personal narrative is not established in the reviewed description.</x:v>
      </x:c>
      <x:c r="D8" s="31" t="str">
        <x:v>Not documented / verify</x:v>
      </x:c>
      <x:c r="E8" s="25" t="str">
        <x:v>Combine scientific auditability with a localized human story.</x:v>
      </x:c>
      <x:c r="F8" s="33" t="str">
        <x:v>High: statistical rigor</x:v>
      </x:c>
      <x:c r="G8" s="25" t="str">
        <x:v>https://github.com/SaifullahMnsur-Again/EarthScope</x:v>
      </x:c>
    </x:row>
    <x:row r="9" ht="91" customHeight="1">
      <x:c r="A9" s="26" t="str">
        <x:v>EarthPulse / NovaCore</x:v>
      </x:c>
      <x:c r="B9" s="26" t="str">
        <x:v>NASA POWER analysis with validation and plain-language explanations.</x:v>
      </x:c>
      <x:c r="C9" s="26" t="str">
        <x:v>Paired historical satellite evidence and contextual memories are not documented.</x:v>
      </x:c>
      <x:c r="D9" s="32" t="str">
        <x:v>Not documented / verify</x:v>
      </x:c>
      <x:c r="E9" s="26" t="str">
        <x:v>Show a traceable remote-sensing change, not just a chart or explanation.</x:v>
      </x:c>
      <x:c r="F9" s="34" t="str">
        <x:v>Medium: NASA POWER narrative</x:v>
      </x:c>
      <x:c r="G9" s="26" t="str">
        <x:v>https://github.com/SalehSeam/EarthPulse---NASA-Earth-Data-Decoded</x:v>
      </x:c>
    </x:row>
    <x:row r="10" ht="91" customHeight="1">
      <x:c r="A10" s="25" t="str">
        <x:v>ECHO EARTH</x:v>
      </x:c>
      <x:c r="B10" s="25" t="str">
        <x:v>Bangladesh/Dhaka and disaster-risk storytelling or forecasting direction.</x:v>
      </x:c>
      <x:c r="C10" s="25" t="str">
        <x:v>Observed project is early-stage; forecast reliability and NASA integration need verification.</x:v>
      </x:c>
      <x:c r="D10" s="31" t="str">
        <x:v>Preliminary / verify</x:v>
      </x:c>
      <x:c r="E10" s="25" t="str">
        <x:v>Avoid unvalidated risk forecasts; use measured past change with explicit limits.</x:v>
      </x:c>
      <x:c r="F10" s="33" t="str">
        <x:v>Medium: local impact story</x:v>
      </x:c>
      <x:c r="G10" s="25" t="str">
        <x:v>https://github.com/shovon-vubon/echo-earth-nasa-space-apps-2026</x:v>
      </x:c>
    </x:row>
    <x:row r="11" ht="91" customHeight="1">
      <x:c r="A11" s="26" t="str">
        <x:v>Living Earth</x:v>
      </x:c>
      <x:c r="B11" s="26" t="str">
        <x:v>3D globe and detective-case storytelling, planned NASA/NOAA indicators.</x:v>
      </x:c>
      <x:c r="C11" s="26" t="str">
        <x:v>Reviewed repo summary uses placeholder data in parts; working NASA production pipeline needs verification.</x:v>
      </x:c>
      <x:c r="D11" s="32" t="str">
        <x:v>Reported scaffold / verify</x:v>
      </x:c>
      <x:c r="E11" s="26" t="str">
        <x:v>Show a working data lineage directly from NASA pixels to claims.</x:v>
      </x:c>
      <x:c r="F11" s="34" t="str">
        <x:v>Medium: globe, detective story</x:v>
      </x:c>
      <x:c r="G11" s="26" t="str">
        <x:v>https://github.com/yasar-sys/living-earth-trend-detective</x:v>
      </x:c>
    </x:row>
    <x:row r="12" ht="91" customHeight="1">
      <x:c r="A12" s="25" t="str">
        <x:v>TerraDetective AI</x:v>
      </x:c>
      <x:c r="B12" s="25" t="str">
        <x:v>40-year NASA POWER, 95% intervals and tests; also reports city twin, 2050 story and anomaly features.</x:v>
      </x:c>
      <x:c r="C12" s="25" t="str">
        <x:v>Historical before/after imagery and local testimony are not documented in the reviewed material.</x:v>
      </x:c>
      <x:c r="D12" s="31" t="str">
        <x:v>Not documented / verify</x:v>
      </x:c>
      <x:c r="E12" s="25" t="str">
        <x:v>Do not call “future twin,” “danger days” or AI summaries unique; use river evidence and confidence.</x:v>
      </x:c>
      <x:c r="F12" s="33" t="str">
        <x:v>High: AI explanations, time trends</x:v>
      </x:c>
      <x:c r="G12" s="25" t="str">
        <x:v>https://github.com/rossycoder/terradetective-ai</x:v>
      </x:c>
    </x:row>
    <x:row r="13" ht="91" customHeight="1">
      <x:c r="A13" s="26" t="str">
        <x:v>EarthTrend Detective Pro</x:v>
      </x:c>
      <x:c r="B13" s="26" t="str">
        <x:v>Described interactive trend-detective prototype.</x:v>
      </x:c>
      <x:c r="C13" s="26" t="str">
        <x:v>At the inspected snapshot, NASA live integration was not connected; status may have changed.</x:v>
      </x:c>
      <x:c r="D13" s="32" t="str">
        <x:v>Snapshot limitation / recheck</x:v>
      </x:c>
      <x:c r="E13" s="26" t="str">
        <x:v>Present a live, verified NASA product with source and method.</x:v>
      </x:c>
      <x:c r="F13" s="34" t="str">
        <x:v>Low: visual prototype</x:v>
      </x:c>
      <x:c r="G13" s="26" t="str">
        <x:v>https://github.com/takiibneduha3-ux/earthtrend-detective</x:v>
      </x:c>
    </x:row>
    <x:row r="14" ht="91" customHeight="1">
      <x:c r="A14" s="25" t="str">
        <x:v>nasa-earth-detectives</x:v>
      </x:c>
      <x:c r="B14" s="25" t="str">
        <x:v>React, .NET and DuckDB architecture plus 3D tooling.</x:v>
      </x:c>
      <x:c r="C14" s="25" t="str">
        <x:v>Architecture alone does not demonstrate a verified end-to-end scientific result.</x:v>
      </x:c>
      <x:c r="D14" s="31" t="str">
        <x:v>Evidence incomplete / verify</x:v>
      </x:c>
      <x:c r="E14" s="25" t="str">
        <x:v>Demonstrate completed analysis, test files and reproducible metrics.</x:v>
      </x:c>
      <x:c r="F14" s="33" t="str">
        <x:v>Medium: technical stack</x:v>
      </x:c>
      <x:c r="G14" s="25" t="str">
        <x:v>https://github.com/nasa-earth-detectives/nasa-earth-trend-detective</x:v>
      </x:c>
    </x:row>
    <x:row r="15" ht="91" customHeight="1">
      <x:c r="A15" s="26" t="str">
        <x:v>The Selection Lab</x:v>
      </x:c>
      <x:c r="B15" s="26" t="str">
        <x:v>NASA CMR discovery for a shortlist of eight Earth datasets.</x:v>
      </x:c>
      <x:c r="C15" s="26" t="str">
        <x:v>Scaffold/discovery does not yet establish a finished geographic trend case.</x:v>
      </x:c>
      <x:c r="D15" s="32" t="str">
        <x:v>Reported scaffold / verify</x:v>
      </x:c>
      <x:c r="E15" s="26" t="str">
        <x:v>Finish one polished, measured and validated geographic case.</x:v>
      </x:c>
      <x:c r="F15" s="34" t="str">
        <x:v>Low: source search concept</x:v>
      </x:c>
      <x:c r="G15" s="26" t="str">
        <x:v>https://github.com/cpt9m0/trend-detective</x:v>
      </x:c>
    </x:row>
    <x:row r="17">
      <x:c r="A17" s="30" t="str">
        <x:v>Recheck source date, README, demo and functionality before claiming a weakness in a final pitch.</x:v>
      </x:c>
      <x:c r="B17" s="30"/>
      <x:c r="C17" s="30"/>
      <x:c r="D17" s="30"/>
      <x:c r="E17" s="30"/>
      <x:c r="F17" s="30"/>
      <x:c r="G17" s="3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A706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90" hidden="0" customWidth="1"/>
    <x:col min="3" max="3" width="56" hidden="0" customWidth="1"/>
    <x:col min="4" max="4" width="42" hidden="0" customWidth="1"/>
    <x:col min="5" max="5" width="51" hidden="0" customWidth="1"/>
    <x:col min="6" max="6" width="25" hidden="0" customWidth="1"/>
    <x:col min="7" max="7" width="24" hidden="0" customWidth="1"/>
    <x:col min="8" max="8" width="61" hidden="0" customWidth="1"/>
  </x:cols>
  <x:sheetData>
    <x:row r="2">
      <x:c r="A2" s="12" t="str">
        <x:v>My Climate Story: research-to-demo build plan</x:v>
      </x:c>
    </x:row>
    <x:row r="3">
      <x:c r="A3" s="13" t="str">
        <x:v>One primary Bangladesh case first. Add a global case only after method and uncertainty checks pass.</x:v>
      </x:c>
      <x:c r="B3" s="13"/>
      <x:c r="C3" s="13"/>
      <x:c r="D3" s="13"/>
      <x:c r="E3" s="13"/>
      <x:c r="F3" s="13"/>
      <x:c r="G3" s="13"/>
      <x:c r="H3" s="13"/>
    </x:row>
    <x:row r="5" ht="31" customHeight="1">
      <x:c r="A5" s="22" t="str">
        <x:v>Priority</x:v>
      </x:c>
      <x:c r="B5" s="22" t="str">
        <x:v>Work package</x:v>
      </x:c>
      <x:c r="C5" s="22" t="str">
        <x:v>Deliverable</x:v>
      </x:c>
      <x:c r="D5" s="22" t="str">
        <x:v>Primary NASA product</x:v>
      </x:c>
      <x:c r="E5" s="22" t="str">
        <x:v>Acceptance test / evidence</x:v>
      </x:c>
      <x:c r="F5" s="22" t="str">
        <x:v>Status (edit)</x:v>
      </x:c>
      <x:c r="G5" s="22" t="str">
        <x:v>Owner (edit)</x:v>
      </x:c>
      <x:c r="H5" s="22" t="str">
        <x:v>Important risk or dependency</x:v>
      </x:c>
    </x:row>
    <x:row r="6" ht="90" customHeight="1">
      <x:c r="A6" s="35" t="str">
        <x:v>P0</x:v>
      </x:c>
      <x:c r="B6" s="25" t="str">
        <x:v>Select exact case location</x:v>
      </x:c>
      <x:c r="C6" s="25" t="str">
        <x:v>AOI polygon and target before/after years for one Bangladesh riverbank.</x:v>
      </x:c>
      <x:c r="D6" s="25" t="str">
        <x:v>Landsat 5 TM / Landsat 8–9 OLI archive</x:v>
      </x:c>
      <x:c r="E6" s="25" t="str">
        <x:v>Confirm same geographic extent, adequate cloud-free scenes and same seasonal window.</x:v>
      </x:c>
      <x:c r="F6" s="36" t="str">
        <x:v>Not started</x:v>
      </x:c>
      <x:c r="G6" s="36" t="str"/>
      <x:c r="H6" s="25" t="str">
        <x:v>Satellite coverage can be cloud-obscured; archive start varies by place.</x:v>
      </x:c>
    </x:row>
    <x:row r="7" ht="90" customHeight="1">
      <x:c r="A7" s="37" t="str">
        <x:v>P0</x:v>
      </x:c>
      <x:c r="B7" s="26" t="str">
        <x:v>Acquire and preprocess evidence</x:v>
      </x:c>
      <x:c r="C7" s="26" t="str">
        <x:v>Two georeferenced, cloud-masked Landsat mosaics and a readable slider.</x:v>
      </x:c>
      <x:c r="D7" s="26" t="str">
        <x:v>NASA/USGS Landsat surface reflectance</x:v>
      </x:c>
      <x:c r="E7" s="26" t="str">
        <x:v>Record product IDs, dates, pixel size, masks and imagery attribution; compare same season.</x:v>
      </x:c>
      <x:c r="F7" s="36" t="str">
        <x:v>Not started</x:v>
      </x:c>
      <x:c r="G7" s="36" t="str"/>
      <x:c r="H7" s="26" t="str">
        <x:v>Do not market “1985 vs 2025” until usable scenes are confirmed.</x:v>
      </x:c>
    </x:row>
    <x:row r="8" ht="90" customHeight="1">
      <x:c r="A8" s="35" t="str">
        <x:v>P0</x:v>
      </x:c>
      <x:c r="B8" s="25" t="str">
        <x:v>Measure one physical change</x:v>
      </x:c>
      <x:c r="C8" s="25" t="str">
        <x:v>Water/land class masks and area change in hectares; export small result table.</x:v>
      </x:c>
      <x:c r="D8" s="25" t="str">
        <x:v>Landsat reflectance (e.g. MNDWI/NDWI with validation)</x:v>
      </x:c>
      <x:c r="E8" s="25" t="str">
        <x:v>Area = counted pixels × pixel area / 10,000; cross-check manual samples and shoreline alignment.</x:v>
      </x:c>
      <x:c r="F8" s="36" t="str">
        <x:v>Not started</x:v>
      </x:c>
      <x:c r="G8" s="36" t="str"/>
      <x:c r="H8" s="25" t="str">
        <x:v>Classification thresholds, mixed pixels, tide and river dynamics create uncertainty.</x:v>
      </x:c>
    </x:row>
    <x:row r="9" ht="90" customHeight="1">
      <x:c r="A9" s="37" t="str">
        <x:v>P0</x:v>
      </x:c>
      <x:c r="B9" s="26" t="str">
        <x:v>Independent QA</x:v>
      </x:c>
      <x:c r="C9" s="26" t="str">
        <x:v>Reproducible audit record and a second evidence check for the case.</x:v>
      </x:c>
      <x:c r="D9" s="26" t="str">
        <x:v>NASA OPERA surface-water product where time/location match; Landsat cross-scene check</x:v>
      </x:c>
      <x:c r="E9" s="26" t="str">
        <x:v>Show at least one independent comparison and report disagreement without hiding it.</x:v>
      </x:c>
      <x:c r="F9" s="36" t="str">
        <x:v>Not started</x:v>
      </x:c>
      <x:c r="G9" s="36" t="str"/>
      <x:c r="H9" s="26" t="str">
        <x:v>OPERA era may not cover historical 1980s; do not call it 40-year validation.</x:v>
      </x:c>
    </x:row>
    <x:row r="10" ht="90" customHeight="1">
      <x:c r="A10" s="35" t="str">
        <x:v>P0</x:v>
      </x:c>
      <x:c r="B10" s="25" t="str">
        <x:v>Evidence Passport</x:v>
      </x:c>
      <x:c r="C10" s="25" t="str">
        <x:v>Each claim has a source, years, scale, processing method and caveat.</x:v>
      </x:c>
      <x:c r="D10" s="25" t="str">
        <x:v>Original NASA collection metadata and Landsat documentation</x:v>
      </x:c>
      <x:c r="E10" s="25" t="str">
        <x:v>A judge can click a claim and recover inputs and calculations; no causal attribution without evidence.</x:v>
      </x:c>
      <x:c r="F10" s="36" t="str">
        <x:v>Not started</x:v>
      </x:c>
      <x:c r="G10" s="36" t="str"/>
      <x:c r="H10" s="25" t="str">
        <x:v>Statistical p/q applies only to tests actually run and assumptions checked.</x:v>
      </x:c>
    </x:row>
    <x:row r="11" ht="90" customHeight="1">
      <x:c r="A11" s="34" t="str">
        <x:v>P1</x:v>
      </x:c>
      <x:c r="B11" s="26" t="str">
        <x:v>Human story and localization</x:v>
      </x:c>
      <x:c r="C11" s="26" t="str">
        <x:v>90-second Bangla-English story with one opt-in local memory point.</x:v>
      </x:c>
      <x:c r="D11" s="26" t="str">
        <x:v>Measured result from preceding NASA steps</x:v>
      </x:c>
      <x:c r="E11" s="26" t="str">
        <x:v>Clearly label citizen account as anecdotal; permission/consent recorded; no personal address disclosed.</x:v>
      </x:c>
      <x:c r="F11" s="36" t="str">
        <x:v>Not started</x:v>
      </x:c>
      <x:c r="G11" s="36" t="str"/>
      <x:c r="H11" s="26" t="str">
        <x:v>Do not mislabel memories or oral histories as NASA measurements.</x:v>
      </x:c>
    </x:row>
    <x:row r="12" ht="90" customHeight="1">
      <x:c r="A12" s="33" t="str">
        <x:v>P1</x:v>
      </x:c>
      <x:c r="B12" s="25" t="str">
        <x:v>Low-bandwidth education mode</x:v>
      </x:c>
      <x:c r="C12" s="25" t="str">
        <x:v>Static image-pair, compressed data card, transcript and offline-capable walkthrough.</x:v>
      </x:c>
      <x:c r="D12" s="25" t="str">
        <x:v>Precomputed NASA-backed raster/chart outputs</x:v>
      </x:c>
      <x:c r="E12" s="25" t="str">
        <x:v>Can follow investigation without a live 3D globe; loads acceptably on low-end phone.</x:v>
      </x:c>
      <x:c r="F12" s="36" t="str">
        <x:v>Not started</x:v>
      </x:c>
      <x:c r="G12" s="36" t="str"/>
      <x:c r="H12" s="25" t="str">
        <x:v>Low bandwidth is a design goal, not yet a demonstrated competitive advantage.</x:v>
      </x:c>
    </x:row>
    <x:row r="13" ht="90" customHeight="1">
      <x:c r="A13" s="34" t="str">
        <x:v>P1</x:v>
      </x:c>
      <x:c r="B13" s="26" t="str">
        <x:v>Local-to-global repeatability</x:v>
      </x:c>
      <x:c r="C13" s="26" t="str">
        <x:v>One example outside Bangladesh using the same data processing steps.</x:v>
      </x:c>
      <x:c r="D13" s="26" t="str">
        <x:v>Landsat archive and matching remote-sensing method</x:v>
      </x:c>
      <x:c r="E13" s="26" t="str">
        <x:v>Repeat water/land measure and evidence passport without hardcoded Bangladesh assumptions.</x:v>
      </x:c>
      <x:c r="F13" s="36" t="str">
        <x:v>Not started</x:v>
      </x:c>
      <x:c r="G13" s="36" t="str"/>
      <x:c r="H13" s="26" t="str">
        <x:v>Only add after the Bangladesh result is defensible.</x:v>
      </x:c>
    </x:row>
    <x:row r="14" ht="90" customHeight="1">
      <x:c r="A14" s="33" t="str">
        <x:v>P2</x:v>
      </x:c>
      <x:c r="B14" s="25" t="str">
        <x:v>Globe and presentation</x:v>
      </x:c>
      <x:c r="C14" s="25" t="str">
        <x:v>Smooth globe flies into case study, then opens the data-backed slider.</x:v>
      </x:c>
      <x:c r="D14" s="25" t="str">
        <x:v>Landsat scene geolocation / map tiles</x:v>
      </x:c>
      <x:c r="E14" s="25" t="str">
        <x:v>2–3 minute demo prioritizes evidence, significance and limitations over animation.</x:v>
      </x:c>
      <x:c r="F14" s="36" t="str">
        <x:v>Not started</x:v>
      </x:c>
      <x:c r="G14" s="36" t="str"/>
      <x:c r="H14" s="25" t="str">
        <x:v>Globe is not a unique feature; performance and accessibility matter.</x:v>
      </x:c>
    </x:row>
    <x:row r="17">
      <x:c r="A17" s="27" t="str">
        <x:v>Research sources and links</x:v>
      </x:c>
    </x:row>
    <x:row r="18" ht="31" customHeight="1">
      <x:c r="A18" s="22" t="str">
        <x:v>Dataset / guidance</x:v>
      </x:c>
      <x:c r="B18" s="22" t="str">
        <x:v>Direct source</x:v>
      </x:c>
    </x:row>
    <x:row r="19" ht="35" customHeight="1">
      <x:c r="A19" s="23" t="str">
        <x:v>NASA challenge 2026</x:v>
      </x:c>
      <x:c r="B19" s="23" t="str">
        <x:v>https://www.spaceappschallenge.org/2026/challenges/be-an-earth-system-trend-detective/</x:v>
      </x:c>
    </x:row>
    <x:row r="20" ht="35" customHeight="1">
      <x:c r="A20" s="23" t="str">
        <x:v>NASA Landsat 5 mission</x:v>
      </x:c>
      <x:c r="B20" s="23" t="str">
        <x:v>https://science.nasa.gov/mission/landsat-5/</x:v>
      </x:c>
    </x:row>
    <x:row r="21" ht="35" customHeight="1">
      <x:c r="A21" s="23" t="str">
        <x:v>USGS Landsat 5 mission detail</x:v>
      </x:c>
      <x:c r="B21" s="23" t="str">
        <x:v>https://www.usgs.gov/Landsat-missions/landsat-5</x:v>
      </x:c>
    </x:row>
    <x:row r="22" ht="35" customHeight="1">
      <x:c r="A22" s="23" t="str">
        <x:v>NASA OPERA Bangladesh surface water example</x:v>
      </x:c>
      <x:c r="B22" s="23" t="str">
        <x:v>https://gis.earthdata.nasa.gov/portal/home/item.html?id=feb8ab36293f4bcfa20ca61e54fa1298</x:v>
      </x:c>
    </x:row>
    <x:row r="23" ht="35" customHeight="1">
      <x:c r="A23" s="23" t="str">
        <x:v>TerraDetective AI external feature note</x:v>
      </x:c>
      <x:c r="B23" s="23" t="str">
        <x:v>https://dev.to/rossycoder/what-will-your-city-feel-like-in-2050-i-built-a-climate-detective-with-40-years-of-nasa-data-54nd</x:v>
      </x:c>
    </x:row>
    <x:row r="24" ht="35" customHeight="1">
      <x:c r="A24" s="23" t="str">
        <x:v>Official 2025 judging guidance (historical reference)</x:v>
      </x:c>
      <x:c r="B24" s="23" t="str">
        <x:v>https://spaceapps-v2-staging.s3.amazonaws.com/media/documents/Final_Space_Apps_2025_Judging_Guidelines_for_web.pdf</x:v>
      </x:c>
    </x:row>
    <x:row r="26">
      <x:c r="A26" s="30" t="str">
        <x:v>Source note: This is a planning worksheet. Satellite-derived area change has NOT been calculated in this competitor review.</x:v>
      </x:c>
      <x:c r="B26" s="30"/>
      <x:c r="C26" s="30"/>
      <x:c r="D26" s="30"/>
      <x:c r="E26" s="30"/>
      <x:c r="F26" s="30"/>
      <x:c r="G26" s="30"/>
      <x:c r="H26" s="30"/>
    </x:row>
  </x:sheetData>
  <x:dataValidations count="1">
    <x:dataValidation type="list" sqref="F6:F14">
      <x:formula1>"Not started,In progress,Blocked,Done"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8375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51" hidden="0" customWidth="1"/>
    <x:col min="4" max="4" width="52" hidden="0" customWidth="1"/>
    <x:col min="5" max="5" width="23" hidden="0" customWidth="1"/>
    <x:col min="6" max="6" width="56" hidden="0" customWidth="1"/>
    <x:col min="7" max="7" width="54" hidden="0" customWidth="1"/>
  </x:cols>
  <x:sheetData>
    <x:row r="2">
      <x:c r="A2" s="38" t="str">
        <x:v>Important discoveries and critical decisions</x:v>
      </x:c>
    </x:row>
    <x:row r="3">
      <x:c r="A3" s="39" t="str">
        <x:v>Delta Detectives | competitor and NASA-data research | 23 October 2026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5" ht="34" customHeight="1">
      <x:c r="A5" s="44" t="str">
        <x:v>#</x:v>
      </x:c>
      <x:c r="B5" s="44" t="str">
        <x:v>Discovery</x:v>
      </x:c>
      <x:c r="C5" s="44" t="str">
        <x:v>What our research shows</x:v>
      </x:c>
      <x:c r="D5" s="44" t="str">
        <x:v>Why it matters</x:v>
      </x:c>
      <x:c r="E5" s="44" t="str">
        <x:v>Evidence class</x:v>
      </x:c>
      <x:c r="F5" s="44" t="str">
        <x:v>Recommended decision</x:v>
      </x:c>
      <x:c r="G5" s="44" t="str">
        <x:v>Source or verification</x:v>
      </x:c>
    </x:row>
    <x:row r="6" ht="79" customHeight="1">
      <x:c r="A6" s="49" t="n">
        <x:v>1</x:v>
      </x:c>
      <x:c r="B6" s="47" t="str">
        <x:v>Challenge asks for trends and significance</x:v>
      </x:c>
      <x:c r="C6" s="47" t="str">
        <x:v>The 2026 task asks what changed, where, how much and whether patterns are significant.</x:v>
      </x:c>
      <x:c r="D6" s="47" t="str">
        <x:v>Before/after pictures should be linked to a genuine time-series test if claiming a statistical trend.</x:v>
      </x:c>
      <x:c r="E6" s="51" t="str">
        <x:v>Official requirement</x:v>
      </x:c>
      <x:c r="F6" s="47" t="str">
        <x:v>Pair the river map with a tested climate variable, or clearly label land-change as a two-date comparison.</x:v>
      </x:c>
      <x:c r="G6" s="47" t="str">
        <x:v>https://www.spaceappschallenge.org/2026/challenges/be-an-earth-system-trend-detective/</x:v>
      </x:c>
    </x:row>
    <x:row r="7" ht="79" customHeight="1">
      <x:c r="A7" s="50" t="n">
        <x:v>2</x:v>
      </x:c>
      <x:c r="B7" s="48" t="str">
        <x:v>Bangladesh coverage is crowded</x:v>
      </x:c>
      <x:c r="C7" s="48" t="str">
        <x:v>TerraBangla and Orion already emphasize Bangladesh. ECHO EARTH has Dhaka connection.</x:v>
      </x:c>
      <x:c r="D7" s="48" t="str">
        <x:v>Country focus alone does not make the app novel.</x:v>
      </x:c>
      <x:c r="E7" s="52" t="str">
        <x:v>Documented overlap</x:v>
      </x:c>
      <x:c r="F7" s="48" t="str">
        <x:v>Anchor one measurable hometown story at a verified location.</x:v>
      </x:c>
      <x:c r="G7" s="48" t="str">
        <x:v>https://github.com/MD-Mushfiqur123/orion-space</x:v>
      </x:c>
    </x:row>
    <x:row r="8" ht="79" customHeight="1">
      <x:c r="A8" s="49" t="n">
        <x:v>3</x:v>
      </x:c>
      <x:c r="B8" s="47" t="str">
        <x:v>Globe and bilingual UI overlap</x:v>
      </x:c>
      <x:c r="C8" s="47" t="str">
        <x:v>TerraBangla describes both a 3D globe and a Bangla-English experience. Living Earth also describes a globe.</x:v>
      </x:c>
      <x:c r="D8" s="47" t="str">
        <x:v>Do not introduce either feature as something no one else built.</x:v>
      </x:c>
      <x:c r="E8" s="51" t="str">
        <x:v>Documented overlap</x:v>
      </x:c>
      <x:c r="F8" s="47" t="str">
        <x:v>Use globe animation to enter a scientific case rather than as the main claim.</x:v>
      </x:c>
      <x:c r="G8" s="47" t="str">
        <x:v>https://www.youtube.com/@TEAM_NEWBIES</x:v>
      </x:c>
    </x:row>
    <x:row r="9" ht="79" customHeight="1">
      <x:c r="A9" s="50" t="n">
        <x:v>4</x:v>
      </x:c>
      <x:c r="B9" s="48" t="str">
        <x:v>Future city twin is already described</x:v>
      </x:c>
      <x:c r="C9" s="48" t="str">
        <x:v>TerraDetective AI publicly mentions Future Twin City and Danger Days.</x:v>
      </x:c>
      <x:c r="D9" s="48" t="str">
        <x:v>An AI future-city analogy is not a unique differentiator.</x:v>
      </x:c>
      <x:c r="E9" s="52" t="str">
        <x:v>Public developer report</x:v>
      </x:c>
      <x:c r="F9" s="48" t="str">
        <x:v>Defer similar forecast/analogy features.</x:v>
      </x:c>
      <x:c r="G9" s="48" t="str">
        <x:v>https://dev.to/rossycoder/what-will-your-city-feel-like-in-2050-i-built-a-climate-detective-with-40-years-of-nasa-data-54nd</x:v>
      </x:c>
    </x:row>
    <x:row r="10" ht="79" customHeight="1">
      <x:c r="A10" s="49" t="n">
        <x:v>5</x:v>
      </x:c>
      <x:c r="B10" s="47" t="str">
        <x:v>Statistical tests are competitive baseline</x:v>
      </x:c>
      <x:c r="C10" s="47" t="str">
        <x:v>Orion uses Mann-Kendall, Theil-Sen, Benjamini-Hochberg FDR and 34 MERRA-2 Bangladesh cells; EarthScope addresses seasonality.</x:v>
      </x:c>
      <x:c r="D10" s="47" t="str">
        <x:v>Math alone is not an original idea; transparent tests still matter to NASA judges.</x:v>
      </x:c>
      <x:c r="E10" s="51" t="str">
        <x:v>Documented overlap</x:v>
      </x:c>
      <x:c r="F10" s="47" t="str">
        <x:v>Explain trend slope, uncertainty and multiple-testing correction in normal language.</x:v>
      </x:c>
      <x:c r="G10" s="47" t="str">
        <x:v>https://github.com/MD-Mushfiqur123/orion-space</x:v>
      </x:c>
    </x:row>
    <x:row r="11" ht="79" customHeight="1">
      <x:c r="A11" s="50" t="n">
        <x:v>6</x:v>
      </x:c>
      <x:c r="B11" s="48" t="str">
        <x:v>Historical satellite pairs are promising</x:v>
      </x:c>
      <x:c r="C11" s="48" t="str">
        <x:v>None of the ten original descriptions explicitly documents historical before/after satellite imagery.</x:v>
      </x:c>
      <x:c r="D11" s="48" t="str">
        <x:v>An apparent market gap could disappear after reviewing live demos.</x:v>
      </x:c>
      <x:c r="E11" s="52" t="str">
        <x:v>Not documented</x:v>
      </x:c>
      <x:c r="F11" s="48" t="str">
        <x:v>Verify other demos, then demonstrate Landsat scenes plus measured land/water change.</x:v>
      </x:c>
      <x:c r="G11" s="48" t="str">
        <x:v>Original Competing Teams sheet, column J</x:v>
      </x:c>
    </x:row>
    <x:row r="12" ht="79" customHeight="1">
      <x:c r="A12" s="49" t="n">
        <x:v>7</x:v>
      </x:c>
      <x:c r="B12" s="47" t="str">
        <x:v>Offline school access is promising</x:v>
      </x:c>
      <x:c r="C12" s="47" t="str">
        <x:v>None of the ten original descriptions explicitly mentions low-bandwidth mode.</x:v>
      </x:c>
      <x:c r="D12" s="47" t="str">
        <x:v>Bangladesh schools may benefit; competitor absence has not been confirmed.</x:v>
      </x:c>
      <x:c r="E12" s="51" t="str">
        <x:v>Not documented</x:v>
      </x:c>
      <x:c r="F12" s="47" t="str">
        <x:v>Build a usable static/transcript fallback and test it on slow mobile internet.</x:v>
      </x:c>
      <x:c r="G12" s="47" t="str">
        <x:v>Original Competing Teams sheet, column K</x:v>
      </x:c>
    </x:row>
    <x:row r="13" ht="79" customHeight="1">
      <x:c r="A13" s="50" t="n">
        <x:v>8</x:v>
      </x:c>
      <x:c r="B13" s="48" t="str">
        <x:v>Our preliminary data have a useful lead</x:v>
      </x:c>
      <x:c r="C13" s="48" t="str">
        <x:v>Our earlier NASA POWER work found positive September slopes for four Bangladesh locations in 2001–2024.</x:v>
      </x:c>
      <x:c r="D13" s="48" t="str">
        <x:v>The results are exploratory and overlap with Orion warming work.</x:v>
      </x:c>
      <x:c r="E13" s="52" t="str">
        <x:v>Our own preliminary calculation</x:v>
      </x:c>
      <x:c r="F13" s="48" t="str">
        <x:v>Retest serial correlation, metadata, station agreement and seasonal consistency before claims.</x:v>
      </x:c>
      <x:c r="G13" s="48" t="str">
        <x:v>See NASA Evidence Snapshot and original NASA Climate Evidence workbook</x:v>
      </x:c>
    </x:row>
    <x:row r="14" ht="79" customHeight="1">
      <x:c r="A14" s="49" t="n">
        <x:v>9</x:v>
      </x:c>
      <x:c r="B14" s="47" t="str">
        <x:v>Forty-year NASA POWER series need QA</x:v>
      </x:c>
      <x:c r="C14" s="47" t="str">
        <x:v>Our original 1985–2024 temperature and rainfall comparisons showed suspicious temporal discontinuities.</x:v>
      </x:c>
      <x:c r="D14" s="47" t="str">
        <x:v>Uncritical “40-year warming” or rainfall numbers may be wrong.</x:v>
      </x:c>
      <x:c r="E14" s="51" t="str">
        <x:v>Identified data-quality risk</x:v>
      </x:c>
      <x:c r="F14" s="47" t="str">
        <x:v>Verify product versions and independent series; avoid unsupported 1985–2024 trend assertions.</x:v>
      </x:c>
      <x:c r="G14" s="47" t="str">
        <x:v>NASA POWER source and prior research QA notes</x:v>
      </x:c>
    </x:row>
    <x:row r="15" ht="79" customHeight="1">
      <x:c r="A15" s="50" t="n">
        <x:v>10</x:v>
      </x:c>
      <x:c r="B15" s="48" t="str">
        <x:v>Landsat makes a 1980s visual possible</x:v>
      </x:c>
      <x:c r="C15" s="48" t="str">
        <x:v>Landsat 5 launched in 1984; suitable scenes depend on local archive and cloud.</x:v>
      </x:c>
      <x:c r="D15" s="48" t="str">
        <x:v>Exact 1985/2025 comparison cannot be promised until scene selection.</x:v>
      </x:c>
      <x:c r="E15" s="52" t="str">
        <x:v>NASA mission documented</x:v>
      </x:c>
      <x:c r="F15" s="48" t="str">
        <x:v>Find the actual site and matched-season scene IDs before public demo design.</x:v>
      </x:c>
      <x:c r="G15" s="48" t="str">
        <x:v>https://science.nasa.gov/mission/landsat-5/</x:v>
      </x:c>
    </x:row>
    <x:row r="16" ht="79" customHeight="1">
      <x:c r="A16" s="49" t="n">
        <x:v>11</x:v>
      </x:c>
      <x:c r="B16" s="47" t="str">
        <x:v>River movement has multiple drivers</x:v>
      </x:c>
      <x:c r="C16" s="47" t="str">
        <x:v>Bank erosion, flooding, upstream flow, tides, dredging and land use may affect shoreline position.</x:v>
      </x:c>
      <x:c r="D16" s="47" t="str">
        <x:v>Two maps do not by themselves show climate change caused the difference.</x:v>
      </x:c>
      <x:c r="E16" s="51" t="str">
        <x:v>Scientific inference caution</x:v>
      </x:c>
      <x:c r="F16" s="47" t="str">
        <x:v>Say “observed river/land change” unless attribution is separately demonstrated.</x:v>
      </x:c>
      <x:c r="G16" s="47" t="str">
        <x:v>Landsat change analysis; attribution requires external evidence</x:v>
      </x:c>
    </x:row>
    <x:row r="17" ht="79" customHeight="1">
      <x:c r="A17" s="50" t="n">
        <x:v>12</x:v>
      </x:c>
      <x:c r="B17" s="48" t="str">
        <x:v>Community voices require boundaries</x:v>
      </x:c>
      <x:c r="C17" s="48" t="str">
        <x:v>Personal photos/memories add context but are not NASA satellite observations.</x:v>
      </x:c>
      <x:c r="D17" s="48" t="str">
        <x:v>Using an address or consent-free quote is a privacy and credibility risk.</x:v>
      </x:c>
      <x:c r="E17" s="52" t="str">
        <x:v>Product ethics risk</x:v>
      </x:c>
      <x:c r="F17" s="48" t="str">
        <x:v>Use opt-in memory submission, anonymization and a distinct evidence label.</x:v>
      </x:c>
      <x:c r="G17" s="48" t="str">
        <x:v>Proposed My Climate Story feature design</x:v>
      </x:c>
    </x:row>
    <x:row r="18" ht="79" customHeight="1">
      <x:c r="A18" s="49" t="n">
        <x:v>13</x:v>
      </x:c>
      <x:c r="B18" s="47" t="str">
        <x:v>Global reach can be methodological</x:v>
      </x:c>
      <x:c r="C18" s="47" t="str">
        <x:v>A repeatable Landsat workflow can work outside Bangladesh.</x:v>
      </x:c>
      <x:c r="D18" s="47" t="str">
        <x:v>Replicating a process globally is more feasible than perfect worldwide datasets at launch.</x:v>
      </x:c>
      <x:c r="E18" s="51" t="str">
        <x:v>Strategic inference</x:v>
      </x:c>
      <x:c r="F18" s="47" t="str">
        <x:v>Finish one Bangladesh example, then demonstrate the same method in a second delta.</x:v>
      </x:c>
      <x:c r="G18" s="47" t="str">
        <x:v>NASA Landsat mission archive</x:v>
      </x:c>
    </x:row>
    <x:row r="19" ht="79" customHeight="1">
      <x:c r="A19" s="50" t="n">
        <x:v>14</x:v>
      </x:c>
      <x:c r="B19" s="48" t="str">
        <x:v>Winning pitch needs calibrated claims</x:v>
      </x:c>
      <x:c r="C19" s="48" t="str">
        <x:v>NASA 2025 scoring mentions impact, creativity, validity, relevance and presentation; 2026 criteria may differ.</x:v>
      </x:c>
      <x:c r="D19" s="48" t="str">
        <x:v>An attractive prototype is insufficient without scientific validity and proof.</x:v>
      </x:c>
      <x:c r="E19" s="52" t="str">
        <x:v>Historical guideline, not confirmed 2026 rule</x:v>
      </x:c>
      <x:c r="F19" s="48" t="str">
        <x:v>Show reproducible calculations, one beneficiary story and a clear 2-minute demo.</x:v>
      </x:c>
      <x:c r="G19" s="48" t="str">
        <x:v>https://spaceapps-v2-staging.s3.amazonaws.com/media/documents/Final_Space_Apps_2025_Judging_Guidelines_for_web.pdf</x:v>
      </x:c>
    </x:row>
    <x:row r="21">
      <x:c r="A21" s="53" t="str">
        <x:v>Reading rule: a missing feature description is a question to investigate, not a proven competitor loophole.</x:v>
      </x:c>
      <x:c r="B21" s="53"/>
      <x:c r="C21" s="53"/>
      <x:c r="D21" s="53"/>
      <x:c r="E21" s="53"/>
      <x:c r="F21" s="53"/>
      <x:c r="G21" s="5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4608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19" hidden="0" customWidth="1"/>
    <x:col min="5" max="5" width="22" hidden="0" customWidth="1"/>
    <x:col min="6" max="6" width="22" hidden="0" customWidth="1"/>
    <x:col min="7" max="7" width="23" hidden="0" customWidth="1"/>
    <x:col min="8" max="8" width="23" hidden="0" customWidth="1"/>
    <x:col min="9" max="9" width="23" hidden="0" customWidth="1"/>
    <x:col min="10" max="10" width="26" hidden="0" customWidth="1"/>
    <x:col min="11" max="11" width="48" hidden="0" customWidth="1"/>
    <x:col min="12" max="12" width="48" hidden="0" customWidth="1"/>
  </x:cols>
  <x:sheetData>
    <x:row r="2">
      <x:c r="A2" s="38" t="str">
        <x:v>Side-by-side competitor feature comparison</x:v>
      </x:c>
    </x:row>
    <x:row r="3">
      <x:c r="A3" s="39" t="str">
        <x:v>Documented means mentioned in public text or repository; proposed Delta features are not yet shipped.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5" ht="34" customHeight="1">
      <x:c r="A5" s="44" t="str">
        <x:v>Team / project</x:v>
      </x:c>
      <x:c r="B5" s="44" t="str">
        <x:v>Bangladesh</x:v>
      </x:c>
      <x:c r="C5" s="44" t="str">
        <x:v>3D globe</x:v>
      </x:c>
      <x:c r="D5" s="44" t="str">
        <x:v>Bangla-English</x:v>
      </x:c>
      <x:c r="E5" s="44" t="str">
        <x:v>Trend significance</x:v>
      </x:c>
      <x:c r="F5" s="44" t="str">
        <x:v>Plain language</x:v>
      </x:c>
      <x:c r="G5" s="44" t="str">
        <x:v>Satellite scene pair</x:v>
      </x:c>
      <x:c r="H5" s="44" t="str">
        <x:v>Community memory</x:v>
      </x:c>
      <x:c r="I5" s="44" t="str">
        <x:v>Offline / low-data</x:v>
      </x:c>
      <x:c r="J5" s="44" t="str">
        <x:v>NASA pipeline status</x:v>
      </x:c>
      <x:c r="K5" s="44" t="str">
        <x:v>Important competitive note</x:v>
      </x:c>
      <x:c r="L5" s="44" t="str">
        <x:v>Source</x:v>
      </x:c>
    </x:row>
    <x:row r="6" ht="66" customHeight="1">
      <x:c r="A6" s="47" t="str">
        <x:v>TerraBangla</x:v>
      </x:c>
      <x:c r="B6" s="47" t="str">
        <x:v>Documented</x:v>
      </x:c>
      <x:c r="C6" s="47" t="str">
        <x:v>Documented</x:v>
      </x:c>
      <x:c r="D6" s="47" t="str">
        <x:v>Documented</x:v>
      </x:c>
      <x:c r="E6" s="47" t="str">
        <x:v>Documented</x:v>
      </x:c>
      <x:c r="F6" s="47" t="str">
        <x:v>Not documented</x:v>
      </x:c>
      <x:c r="G6" s="56" t="str">
        <x:v>Not documented</x:v>
      </x:c>
      <x:c r="H6" s="56" t="str">
        <x:v>Not documented</x:v>
      </x:c>
      <x:c r="I6" s="56" t="str">
        <x:v>Not documented</x:v>
      </x:c>
      <x:c r="J6" s="47" t="str">
        <x:v>Described</x:v>
      </x:c>
      <x:c r="K6" s="47" t="str">
        <x:v>64-district and bilingual globe overlap; live video was not reviewed.</x:v>
      </x:c>
      <x:c r="L6" s="47" t="str">
        <x:v>https://www.youtube.com/@TEAM_NEWBIES</x:v>
      </x:c>
    </x:row>
    <x:row r="7" ht="66" customHeight="1">
      <x:c r="A7" s="48" t="str">
        <x:v>Orion Space</x:v>
      </x:c>
      <x:c r="B7" s="48" t="str">
        <x:v>Documented</x:v>
      </x:c>
      <x:c r="C7" s="48" t="str">
        <x:v>UI described</x:v>
      </x:c>
      <x:c r="D7" s="48" t="str">
        <x:v>Not documented</x:v>
      </x:c>
      <x:c r="E7" s="48" t="str">
        <x:v>Documented</x:v>
      </x:c>
      <x:c r="F7" s="48" t="str">
        <x:v>Query interface</x:v>
      </x:c>
      <x:c r="G7" s="57" t="str">
        <x:v>Not documented</x:v>
      </x:c>
      <x:c r="H7" s="57" t="str">
        <x:v>Not documented</x:v>
      </x:c>
      <x:c r="I7" s="57" t="str">
        <x:v>Not documented</x:v>
      </x:c>
      <x:c r="J7" s="48" t="str">
        <x:v>Documented</x:v>
      </x:c>
      <x:c r="K7" s="48" t="str">
        <x:v>34 MERRA-2 Bangladesh cells, T2M trend analysis; not a river map.</x:v>
      </x:c>
      <x:c r="L7" s="48" t="str">
        <x:v>https://github.com/MD-Mushfiqur123/orion-space</x:v>
      </x:c>
    </x:row>
    <x:row r="8" ht="66" customHeight="1">
      <x:c r="A8" s="47" t="str">
        <x:v>EarthScope</x:v>
      </x:c>
      <x:c r="B8" s="47" t="str">
        <x:v>Not specified</x:v>
      </x:c>
      <x:c r="C8" s="47" t="str">
        <x:v>Not documented</x:v>
      </x:c>
      <x:c r="D8" s="47" t="str">
        <x:v>Not documented</x:v>
      </x:c>
      <x:c r="E8" s="47" t="str">
        <x:v>Documented</x:v>
      </x:c>
      <x:c r="F8" s="47" t="str">
        <x:v>Not documented</x:v>
      </x:c>
      <x:c r="G8" s="56" t="str">
        <x:v>Not documented</x:v>
      </x:c>
      <x:c r="H8" s="56" t="str">
        <x:v>Not documented</x:v>
      </x:c>
      <x:c r="I8" s="56" t="str">
        <x:v>Not documented</x:v>
      </x:c>
      <x:c r="J8" s="47" t="str">
        <x:v>Prototype</x:v>
      </x:c>
      <x:c r="K8" s="47" t="str">
        <x:v>Strong methodology; personal/story layer not verified.</x:v>
      </x:c>
      <x:c r="L8" s="47" t="str">
        <x:v>https://github.com/SaifullahMnsur-Again/EarthScope</x:v>
      </x:c>
    </x:row>
    <x:row r="9" ht="66" customHeight="1">
      <x:c r="A9" s="48" t="str">
        <x:v>EarthPulse / NovaCore</x:v>
      </x:c>
      <x:c r="B9" s="48" t="str">
        <x:v>Not specified</x:v>
      </x:c>
      <x:c r="C9" s="48" t="str">
        <x:v>Not documented</x:v>
      </x:c>
      <x:c r="D9" s="48" t="str">
        <x:v>Not documented</x:v>
      </x:c>
      <x:c r="E9" s="48" t="str">
        <x:v>Documented</x:v>
      </x:c>
      <x:c r="F9" s="48" t="str">
        <x:v>Documented</x:v>
      </x:c>
      <x:c r="G9" s="57" t="str">
        <x:v>Not documented</x:v>
      </x:c>
      <x:c r="H9" s="57" t="str">
        <x:v>Not documented</x:v>
      </x:c>
      <x:c r="I9" s="57" t="str">
        <x:v>Not documented</x:v>
      </x:c>
      <x:c r="J9" s="48" t="str">
        <x:v>Described</x:v>
      </x:c>
      <x:c r="K9" s="48" t="str">
        <x:v>Validation and accessible explanation overlap.</x:v>
      </x:c>
      <x:c r="L9" s="48" t="str">
        <x:v>https://github.com/SalehSeam/EarthPulse---NASA-Earth-Data-Decoded</x:v>
      </x:c>
    </x:row>
    <x:row r="10" ht="66" customHeight="1">
      <x:c r="A10" s="47" t="str">
        <x:v>ECHO EARTH</x:v>
      </x:c>
      <x:c r="B10" s="47" t="str">
        <x:v>Dhaka event</x:v>
      </x:c>
      <x:c r="C10" s="47" t="str">
        <x:v>Not documented</x:v>
      </x:c>
      <x:c r="D10" s="47" t="str">
        <x:v>Not documented</x:v>
      </x:c>
      <x:c r="E10" s="47" t="str">
        <x:v>Planned</x:v>
      </x:c>
      <x:c r="F10" s="47" t="str">
        <x:v>Documented</x:v>
      </x:c>
      <x:c r="G10" s="56" t="str">
        <x:v>Not documented</x:v>
      </x:c>
      <x:c r="H10" s="56" t="str">
        <x:v>Not documented</x:v>
      </x:c>
      <x:c r="I10" s="56" t="str">
        <x:v>Not documented</x:v>
      </x:c>
      <x:c r="J10" s="47" t="str">
        <x:v>Early concept</x:v>
      </x:c>
      <x:c r="K10" s="47" t="str">
        <x:v>Disaster forecasting claims need verification.</x:v>
      </x:c>
      <x:c r="L10" s="47" t="str">
        <x:v>https://github.com/shovon-vubon/echo-earth-nasa-space-apps-2026</x:v>
      </x:c>
    </x:row>
    <x:row r="11" ht="66" customHeight="1">
      <x:c r="A11" s="48" t="str">
        <x:v>Living Earth</x:v>
      </x:c>
      <x:c r="B11" s="48" t="str">
        <x:v>Global</x:v>
      </x:c>
      <x:c r="C11" s="48" t="str">
        <x:v>Documented</x:v>
      </x:c>
      <x:c r="D11" s="48" t="str">
        <x:v>Not documented</x:v>
      </x:c>
      <x:c r="E11" s="48" t="str">
        <x:v>Described</x:v>
      </x:c>
      <x:c r="F11" s="48" t="str">
        <x:v>Documented</x:v>
      </x:c>
      <x:c r="G11" s="57" t="str">
        <x:v>Not documented</x:v>
      </x:c>
      <x:c r="H11" s="57" t="str">
        <x:v>Not documented</x:v>
      </x:c>
      <x:c r="I11" s="57" t="str">
        <x:v>Not documented</x:v>
      </x:c>
      <x:c r="J11" s="48" t="str">
        <x:v>Placeholders noted</x:v>
      </x:c>
      <x:c r="K11" s="48" t="str">
        <x:v>Detective cases, globe overlap; parts of NASA data were placeholders.</x:v>
      </x:c>
      <x:c r="L11" s="48" t="str">
        <x:v>https://github.com/yasar-sys/living-earth-trend-detective</x:v>
      </x:c>
    </x:row>
    <x:row r="12" ht="66" customHeight="1">
      <x:c r="A12" s="47" t="str">
        <x:v>TerraDetective AI</x:v>
      </x:c>
      <x:c r="B12" s="47" t="str">
        <x:v>Global</x:v>
      </x:c>
      <x:c r="C12" s="47" t="str">
        <x:v>Not documented</x:v>
      </x:c>
      <x:c r="D12" s="47" t="str">
        <x:v>Not documented</x:v>
      </x:c>
      <x:c r="E12" s="47" t="str">
        <x:v>Documented</x:v>
      </x:c>
      <x:c r="F12" s="47" t="str">
        <x:v>Documented</x:v>
      </x:c>
      <x:c r="G12" s="56" t="str">
        <x:v>Not documented</x:v>
      </x:c>
      <x:c r="H12" s="56" t="str">
        <x:v>Not documented</x:v>
      </x:c>
      <x:c r="I12" s="56" t="str">
        <x:v>Not documented</x:v>
      </x:c>
      <x:c r="J12" s="47" t="str">
        <x:v>Working pipeline</x:v>
      </x:c>
      <x:c r="K12" s="47" t="str">
        <x:v>City-twin, danger days and AI narrative already described.</x:v>
      </x:c>
      <x:c r="L12" s="47" t="str">
        <x:v>https://github.com/rossycoder/terradetective-ai</x:v>
      </x:c>
    </x:row>
    <x:row r="13" ht="66" customHeight="1">
      <x:c r="A13" s="48" t="str">
        <x:v>EarthTrend Detective Pro</x:v>
      </x:c>
      <x:c r="B13" s="48" t="str">
        <x:v>Not specified</x:v>
      </x:c>
      <x:c r="C13" s="48" t="str">
        <x:v>Not documented</x:v>
      </x:c>
      <x:c r="D13" s="48" t="str">
        <x:v>Not documented</x:v>
      </x:c>
      <x:c r="E13" s="48" t="str">
        <x:v>Indicator UI</x:v>
      </x:c>
      <x:c r="F13" s="48" t="str">
        <x:v>Not documented</x:v>
      </x:c>
      <x:c r="G13" s="57" t="str">
        <x:v>Not documented</x:v>
      </x:c>
      <x:c r="H13" s="57" t="str">
        <x:v>Not documented</x:v>
      </x:c>
      <x:c r="I13" s="57" t="str">
        <x:v>Not documented</x:v>
      </x:c>
      <x:c r="J13" s="48" t="str">
        <x:v>Not connected in snapshot</x:v>
      </x:c>
      <x:c r="K13" s="48" t="str">
        <x:v>Evidence-notebook idea overlaps; dataset integration status may change.</x:v>
      </x:c>
      <x:c r="L13" s="48" t="str">
        <x:v>https://github.com/takiibneduha3-ux/earthtrend-detective</x:v>
      </x:c>
    </x:row>
    <x:row r="14" ht="66" customHeight="1">
      <x:c r="A14" s="47" t="str">
        <x:v>nasa-earth-detectives</x:v>
      </x:c>
      <x:c r="B14" s="47" t="str">
        <x:v>Not specified</x:v>
      </x:c>
      <x:c r="C14" s="47" t="str">
        <x:v>Architecture</x:v>
      </x:c>
      <x:c r="D14" s="47" t="str">
        <x:v>Not documented</x:v>
      </x:c>
      <x:c r="E14" s="47" t="str">
        <x:v>Not documented</x:v>
      </x:c>
      <x:c r="F14" s="47" t="str">
        <x:v>Not documented</x:v>
      </x:c>
      <x:c r="G14" s="56" t="str">
        <x:v>Not documented</x:v>
      </x:c>
      <x:c r="H14" s="56" t="str">
        <x:v>Not documented</x:v>
      </x:c>
      <x:c r="I14" s="56" t="str">
        <x:v>Not documented</x:v>
      </x:c>
      <x:c r="J14" s="47" t="str">
        <x:v>Scaffold</x:v>
      </x:c>
      <x:c r="K14" s="47" t="str">
        <x:v>Modern technical architecture; completed science not established in reviewed material.</x:v>
      </x:c>
      <x:c r="L14" s="47" t="str">
        <x:v>https://github.com/nasa-earth-detectives/nasa-earth-trend-detective</x:v>
      </x:c>
    </x:row>
    <x:row r="15" ht="66" customHeight="1">
      <x:c r="A15" s="48" t="str">
        <x:v>The Selection Lab</x:v>
      </x:c>
      <x:c r="B15" s="48" t="str">
        <x:v>Not specified</x:v>
      </x:c>
      <x:c r="C15" s="48" t="str">
        <x:v>Not documented</x:v>
      </x:c>
      <x:c r="D15" s="48" t="str">
        <x:v>Not documented</x:v>
      </x:c>
      <x:c r="E15" s="48" t="str">
        <x:v>Not documented</x:v>
      </x:c>
      <x:c r="F15" s="48" t="str">
        <x:v>Not documented</x:v>
      </x:c>
      <x:c r="G15" s="57" t="str">
        <x:v>Not documented</x:v>
      </x:c>
      <x:c r="H15" s="57" t="str">
        <x:v>Not documented</x:v>
      </x:c>
      <x:c r="I15" s="57" t="str">
        <x:v>Not documented</x:v>
      </x:c>
      <x:c r="J15" s="48" t="str">
        <x:v>Dataset shortlist</x:v>
      </x:c>
      <x:c r="K15" s="48" t="str">
        <x:v>NASA CMR data discovery, little finished demonstration in reviewed snapshot.</x:v>
      </x:c>
      <x:c r="L15" s="48" t="str">
        <x:v>https://github.com/cpt9m0/trend-detective</x:v>
      </x:c>
    </x:row>
    <x:row r="16" ht="66" customHeight="1">
      <x:c r="A16" s="55" t="str">
        <x:v>Delta Detectives (target)</x:v>
      </x:c>
      <x:c r="B16" s="55" t="str">
        <x:v>Primary case</x:v>
      </x:c>
      <x:c r="C16" s="55" t="str">
        <x:v>Planned</x:v>
      </x:c>
      <x:c r="D16" s="55" t="str">
        <x:v>Planned</x:v>
      </x:c>
      <x:c r="E16" s="55" t="str">
        <x:v>Needs validation</x:v>
      </x:c>
      <x:c r="F16" s="55" t="str">
        <x:v>Planned</x:v>
      </x:c>
      <x:c r="G16" s="55" t="str">
        <x:v>Planned</x:v>
      </x:c>
      <x:c r="H16" s="55" t="str">
        <x:v>Planned</x:v>
      </x:c>
      <x:c r="I16" s="55" t="str">
        <x:v>Planned</x:v>
      </x:c>
      <x:c r="J16" s="55" t="str">
        <x:v>NASA POWER pilot; Landsat pending</x:v>
      </x:c>
      <x:c r="K16" s="55" t="str">
        <x:v>NOT complete: this row is our proposed product roadmap.</x:v>
      </x:c>
      <x:c r="L16" s="55" t="str">
        <x:v>See MVP Build Plan</x:v>
      </x:c>
    </x:row>
    <x:row r="18">
      <x:c r="A18" s="53" t="str">
        <x:v>Crucial interpretation: “Not documented” = no explicit mention in the reviewed source, not proof the feature is missing.</x:v>
      </x:c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0879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32" hidden="0" customWidth="1"/>
    <x:col min="3" max="3" width="50" hidden="0" customWidth="1"/>
    <x:col min="4" max="4" width="41" hidden="0" customWidth="1"/>
    <x:col min="5" max="5" width="44" hidden="0" customWidth="1"/>
    <x:col min="6" max="6" width="35" hidden="0" customWidth="1"/>
    <x:col min="7" max="7" width="20" hidden="0" customWidth="1"/>
    <x:col min="8" max="8" width="21" hidden="0" customWidth="1"/>
    <x:col min="9" max="9" width="22" hidden="0" customWidth="1"/>
    <x:col min="10" max="10" width="51" hidden="0" customWidth="1"/>
  </x:cols>
  <x:sheetData>
    <x:row r="2">
      <x:c r="A2" s="38" t="str">
        <x:v>Ideas and recommendations: choose what to build</x:v>
      </x:c>
    </x:row>
    <x:row r="3">
      <x:c r="A3" s="39" t="str">
        <x:v>This ranks the product directions by differentiation, evidence feasibility and demo value, not a fabricated numeric score.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5" ht="34" customHeight="1">
      <x:c r="A5" s="44" t="str">
        <x:v>Priority</x:v>
      </x:c>
      <x:c r="B5" s="44" t="str">
        <x:v>Idea</x:v>
      </x:c>
      <x:c r="C5" s="44" t="str">
        <x:v>What the user experiences</x:v>
      </x:c>
      <x:c r="D5" s="44" t="str">
        <x:v>NASA/data dependency</x:v>
      </x:c>
      <x:c r="E5" s="44" t="str">
        <x:v>Proof shown during demo</x:v>
      </x:c>
      <x:c r="F5" s="44" t="str">
        <x:v>Overlap with competitors</x:v>
      </x:c>
      <x:c r="G5" s="44" t="str">
        <x:v>Effort</x:v>
      </x:c>
      <x:c r="H5" s="44" t="str">
        <x:v>Recommendation</x:v>
      </x:c>
      <x:c r="I5" s="44" t="str">
        <x:v>Status (edit)</x:v>
      </x:c>
      <x:c r="J5" s="44" t="str">
        <x:v>Why it matters / caution</x:v>
      </x:c>
    </x:row>
    <x:row r="6" ht="83" customHeight="1">
      <x:c r="A6" s="58" t="str">
        <x:v>P0</x:v>
      </x:c>
      <x:c r="B6" s="47" t="str">
        <x:v>Hometown Time Machine</x:v>
      </x:c>
      <x:c r="C6" s="47" t="str">
        <x:v>Travel from a rotating globe into a real riverbank site, then slide from past to present.</x:v>
      </x:c>
      <x:c r="D6" s="47" t="str">
        <x:v>Matched-season Landsat 5 / 8–9 imagery</x:v>
      </x:c>
      <x:c r="E6" s="47" t="str">
        <x:v>Two referenced scenes; visible water/land changes</x:v>
      </x:c>
      <x:c r="F6" s="47" t="str">
        <x:v>3D navigation overlaps; evidence pairing not documented</x:v>
      </x:c>
      <x:c r="G6" s="47" t="str">
        <x:v>High</x:v>
      </x:c>
      <x:c r="H6" s="47" t="str">
        <x:v>BUILD</x:v>
      </x:c>
      <x:c r="I6" s="59" t="str">
        <x:v>Not started</x:v>
      </x:c>
      <x:c r="J6" s="47" t="str">
        <x:v>Best flagship. Verify historical scene availability first.</x:v>
      </x:c>
    </x:row>
    <x:row r="7" ht="83" customHeight="1">
      <x:c r="A7" s="60" t="str">
        <x:v>P0</x:v>
      </x:c>
      <x:c r="B7" s="48" t="str">
        <x:v>Evidence Passport</x:v>
      </x:c>
      <x:c r="C7" s="48" t="str">
        <x:v>Click a claim to reveal NASA product, coordinates, years, method and uncertainty.</x:v>
      </x:c>
      <x:c r="D7" s="48" t="str">
        <x:v>NASA data metadata; saved processing steps</x:v>
      </x:c>
      <x:c r="E7" s="48" t="str">
        <x:v>One click reveals reproducible inputs and results</x:v>
      </x:c>
      <x:c r="F7" s="48" t="str">
        <x:v>Evidence notebook concepts exist; combination may differ</x:v>
      </x:c>
      <x:c r="G7" s="48" t="str">
        <x:v>Medium</x:v>
      </x:c>
      <x:c r="H7" s="48" t="str">
        <x:v>BUILD</x:v>
      </x:c>
      <x:c r="I7" s="59" t="str">
        <x:v>Not started</x:v>
      </x:c>
      <x:c r="J7" s="48" t="str">
        <x:v>Improves trust and meets scientific-validity expectations.</x:v>
      </x:c>
    </x:row>
    <x:row r="8" ht="83" customHeight="1">
      <x:c r="A8" s="58" t="str">
        <x:v>P0</x:v>
      </x:c>
      <x:c r="B8" s="47" t="str">
        <x:v>Riverbank Change Calculator</x:v>
      </x:c>
      <x:c r="C8" s="47" t="str">
        <x:v>Display mapped water/land in hectares before and after, with a method note.</x:v>
      </x:c>
      <x:c r="D8" s="47" t="str">
        <x:v>Landsat-derived water/land masks</x:v>
      </x:c>
      <x:c r="E8" s="47" t="str">
        <x:v>Counts × pixel area; spot-check against independent scene</x:v>
      </x:c>
      <x:c r="F8" s="47" t="str">
        <x:v>Quantified comparison not explicit in original shortlist</x:v>
      </x:c>
      <x:c r="G8" s="47" t="str">
        <x:v>High</x:v>
      </x:c>
      <x:c r="H8" s="47" t="str">
        <x:v>BUILD</x:v>
      </x:c>
      <x:c r="I8" s="59" t="str">
        <x:v>Not started</x:v>
      </x:c>
      <x:c r="J8" s="47" t="str">
        <x:v>Show it as observed land/water change, not proven climate causality.</x:v>
      </x:c>
    </x:row>
    <x:row r="9" ht="83" customHeight="1">
      <x:c r="A9" s="52" t="str">
        <x:v>P1</x:v>
      </x:c>
      <x:c r="B9" s="48" t="str">
        <x:v>Uncertainty Flashlight</x:v>
      </x:c>
      <x:c r="C9" s="48" t="str">
        <x:v>Toggle masks revealing clouds, unclear pixels, dates and possible tidal confounding.</x:v>
      </x:c>
      <x:c r="D9" s="48" t="str">
        <x:v>QA masks, scene metadata, sensitivity check</x:v>
      </x:c>
      <x:c r="E9" s="48" t="str">
        <x:v>Transparent missed/uncertain pixels on imagery</x:v>
      </x:c>
      <x:c r="F9" s="48" t="str">
        <x:v>EarthScope highlights insufficient data; visual uncertainty layer less clear</x:v>
      </x:c>
      <x:c r="G9" s="48" t="str">
        <x:v>Medium</x:v>
      </x:c>
      <x:c r="H9" s="48" t="str">
        <x:v>BUILD</x:v>
      </x:c>
      <x:c r="I9" s="59" t="str">
        <x:v>Not started</x:v>
      </x:c>
      <x:c r="J9" s="48" t="str">
        <x:v>Turns limitations into educational value.</x:v>
      </x:c>
    </x:row>
    <x:row r="10" ht="83" customHeight="1">
      <x:c r="A10" s="51" t="str">
        <x:v>P1</x:v>
      </x:c>
      <x:c r="B10" s="47" t="str">
        <x:v>Community Memory Overlay</x:v>
      </x:c>
      <x:c r="C10" s="47" t="str">
        <x:v>Hear a consent-based local memory at the corresponding location and year.</x:v>
      </x:c>
      <x:c r="D10" s="47" t="str">
        <x:v>Optional volunteered media; separate evidence track</x:v>
      </x:c>
      <x:c r="E10" s="47" t="str">
        <x:v>One anonymized memory displayed as a personal account</x:v>
      </x:c>
      <x:c r="F10" s="47" t="str">
        <x:v>Not documented in tracked projects</x:v>
      </x:c>
      <x:c r="G10" s="47" t="str">
        <x:v>Medium</x:v>
      </x:c>
      <x:c r="H10" s="47" t="str">
        <x:v>BUILD</x:v>
      </x:c>
      <x:c r="I10" s="59" t="str">
        <x:v>Not started</x:v>
      </x:c>
      <x:c r="J10" s="47" t="str">
        <x:v>Never equate oral history with satellite proof.</x:v>
      </x:c>
    </x:row>
    <x:row r="11" ht="83" customHeight="1">
      <x:c r="A11" s="52" t="str">
        <x:v>P1</x:v>
      </x:c>
      <x:c r="B11" s="48" t="str">
        <x:v>Low-bandwidth School Pack</x:v>
      </x:c>
      <x:c r="C11" s="48" t="str">
        <x:v>Static before/after, Bangla transcript and compressed evidence when data is slow.</x:v>
      </x:c>
      <x:c r="D11" s="48" t="str">
        <x:v>Precomputed NASA outputs plus lightweight front-end</x:v>
      </x:c>
      <x:c r="E11" s="48" t="str">
        <x:v>Repeat core story without loading 3D globe</x:v>
      </x:c>
      <x:c r="F11" s="48" t="str">
        <x:v>Not documented in tracked projects</x:v>
      </x:c>
      <x:c r="G11" s="48" t="str">
        <x:v>Medium</x:v>
      </x:c>
      <x:c r="H11" s="48" t="str">
        <x:v>BUILD</x:v>
      </x:c>
      <x:c r="I11" s="59" t="str">
        <x:v>Not started</x:v>
      </x:c>
      <x:c r="J11" s="48" t="str">
        <x:v>Needs practical mobile performance test; not a proven market gap.</x:v>
      </x:c>
    </x:row>
    <x:row r="12" ht="83" customHeight="1">
      <x:c r="A12" s="51" t="str">
        <x:v>P1</x:v>
      </x:c>
      <x:c r="B12" s="47" t="str">
        <x:v>Exportable Investigation</x:v>
      </x:c>
      <x:c r="C12" s="47" t="str">
        <x:v>Run the same processing recipe for another delta globally.</x:v>
      </x:c>
      <x:c r="D12" s="47" t="str">
        <x:v>Second location with suitable Landsat coverage</x:v>
      </x:c>
      <x:c r="E12" s="47" t="str">
        <x:v>Show identical calculator and evidence passport outside Bangladesh</x:v>
      </x:c>
      <x:c r="F12" s="47" t="str">
        <x:v>Global coverage exists in competitors</x:v>
      </x:c>
      <x:c r="G12" s="47" t="str">
        <x:v>Medium</x:v>
      </x:c>
      <x:c r="H12" s="47" t="str">
        <x:v>BUILD AFTER QA</x:v>
      </x:c>
      <x:c r="I12" s="59" t="str">
        <x:v>Not started</x:v>
      </x:c>
      <x:c r="J12" s="47" t="str">
        <x:v>Establish one Bangladesh case before expansion.</x:v>
      </x:c>
    </x:row>
    <x:row r="13" ht="83" customHeight="1">
      <x:c r="A13" s="61" t="str">
        <x:v>P2</x:v>
      </x:c>
      <x:c r="B13" s="48" t="str">
        <x:v>Teacher Detective Mode</x:v>
      </x:c>
      <x:c r="C13" s="48" t="str">
        <x:v>Students guess what changed, examine evidence and then reveal measured answer.</x:v>
      </x:c>
      <x:c r="D13" s="48" t="str">
        <x:v>Same audited outputs</x:v>
      </x:c>
      <x:c r="E13" s="48" t="str">
        <x:v>One 2-minute classroom task in Bangla and English</x:v>
      </x:c>
      <x:c r="F13" s="48" t="str">
        <x:v>TerraBangla includes kids section</x:v>
      </x:c>
      <x:c r="G13" s="48" t="str">
        <x:v>Medium</x:v>
      </x:c>
      <x:c r="H13" s="48" t="str">
        <x:v>OPTIONAL</x:v>
      </x:c>
      <x:c r="I13" s="59" t="str">
        <x:v>Not started</x:v>
      </x:c>
      <x:c r="J13" s="48" t="str">
        <x:v>Pair pedagogy with evidence; kids content alone is not unique.</x:v>
      </x:c>
    </x:row>
    <x:row r="14" ht="83" customHeight="1">
      <x:c r="A14" s="62" t="str">
        <x:v>P2</x:v>
      </x:c>
      <x:c r="B14" s="47" t="str">
        <x:v>Realistic Rotating Earth</x:v>
      </x:c>
      <x:c r="C14" s="47" t="str">
        <x:v>Google Earth-style globe that flies to a selected town.</x:v>
      </x:c>
      <x:c r="D14" s="47" t="str">
        <x:v>Earth texture and location coordinates</x:v>
      </x:c>
      <x:c r="E14" s="47" t="str">
        <x:v>Fast transition to a usable case on mobile</x:v>
      </x:c>
      <x:c r="F14" s="47" t="str">
        <x:v>TerraBangla and Living Earth already describe 3D</x:v>
      </x:c>
      <x:c r="G14" s="47" t="str">
        <x:v>Medium</x:v>
      </x:c>
      <x:c r="H14" s="47" t="str">
        <x:v>SUPPORTING UI</x:v>
      </x:c>
      <x:c r="I14" s="59" t="str">
        <x:v>Not started</x:v>
      </x:c>
      <x:c r="J14" s="47" t="str">
        <x:v>Beautiful entry point; avoid allowing animation to swallow the demo.</x:v>
      </x:c>
    </x:row>
    <x:row r="15" ht="83" customHeight="1">
      <x:c r="A15" s="61" t="str">
        <x:v>P2</x:v>
      </x:c>
      <x:c r="B15" s="48" t="str">
        <x:v>AI Explanation With Citations</x:v>
      </x:c>
      <x:c r="C15" s="48" t="str">
        <x:v>Give a plain-language story and a linked NASA source for each statement.</x:v>
      </x:c>
      <x:c r="D15" s="48" t="str">
        <x:v>Validated outputs and constrained generation</x:v>
      </x:c>
      <x:c r="E15" s="48" t="str">
        <x:v>Every AI statement links to a numeric input</x:v>
      </x:c>
      <x:c r="F15" s="48" t="str">
        <x:v>EarthPulse/TerraDetective AI already provide explanations</x:v>
      </x:c>
      <x:c r="G15" s="48" t="str">
        <x:v>High</x:v>
      </x:c>
      <x:c r="H15" s="48" t="str">
        <x:v>DEFER</x:v>
      </x:c>
      <x:c r="I15" s="59" t="str">
        <x:v>Not started</x:v>
      </x:c>
      <x:c r="J15" s="48" t="str">
        <x:v>Use template-driven explanations until scientific output is solid.</x:v>
      </x:c>
    </x:row>
    <x:row r="16" ht="83" customHeight="1">
      <x:c r="A16" s="62" t="str">
        <x:v>P3</x:v>
      </x:c>
      <x:c r="B16" s="47" t="str">
        <x:v>Future Twin City</x:v>
      </x:c>
      <x:c r="C16" s="47" t="str">
        <x:v>Find a current-city analogy for a future climate scenario.</x:v>
      </x:c>
      <x:c r="D16" s="47" t="str">
        <x:v>Validated projections and uncertainty</x:v>
      </x:c>
      <x:c r="E16" s="47" t="str">
        <x:v>Would require real projection dataset, not just past trends</x:v>
      </x:c>
      <x:c r="F16" s="47" t="str">
        <x:v>TerraDetective AI already describes it</x:v>
      </x:c>
      <x:c r="G16" s="47" t="str">
        <x:v>High</x:v>
      </x:c>
      <x:c r="H16" s="47" t="str">
        <x:v>DO NOT LEAD</x:v>
      </x:c>
      <x:c r="I16" s="59" t="str">
        <x:v>Not started</x:v>
      </x:c>
      <x:c r="J16" s="47" t="str">
        <x:v>Overlap is high and forecasts risk overpromising.</x:v>
      </x:c>
    </x:row>
    <x:row r="17" ht="83" customHeight="1">
      <x:c r="A17" s="61" t="str">
        <x:v>P3</x:v>
      </x:c>
      <x:c r="B17" s="48" t="str">
        <x:v>All 64 Districts at Launch</x:v>
      </x:c>
      <x:c r="C17" s="48" t="str">
        <x:v>Full nationwide district-by-district trend explorer.</x:v>
      </x:c>
      <x:c r="D17" s="48" t="str">
        <x:v>Large, validated multi-source data pipeline</x:v>
      </x:c>
      <x:c r="E17" s="48" t="str">
        <x:v>Coverage QA for every district and variable</x:v>
      </x:c>
      <x:c r="F17" s="48" t="str">
        <x:v>TerraBangla describes 64 districts</x:v>
      </x:c>
      <x:c r="G17" s="48" t="str">
        <x:v>Very high</x:v>
      </x:c>
      <x:c r="H17" s="48" t="str">
        <x:v>DO NOT LEAD</x:v>
      </x:c>
      <x:c r="I17" s="59" t="str">
        <x:v>Not started</x:v>
      </x:c>
      <x:c r="J17" s="48" t="str">
        <x:v>Breadth raises bug/data risk without proving one memorable story.</x:v>
      </x:c>
    </x:row>
  </x:sheetData>
  <x:dataValidations count="1">
    <x:dataValidation type="list" sqref="I6:I17">
      <x:formula1>"Not started,In progress,Blocked,Done,Deferred"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583A2"/>
  </x:sheetPr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0" hidden="0" customWidth="1"/>
    <x:col min="4" max="4" width="23" hidden="0" customWidth="1"/>
    <x:col min="5" max="5" width="17" hidden="0" customWidth="1"/>
    <x:col min="6" max="6" width="18" hidden="0" customWidth="1"/>
    <x:col min="7" max="7" width="22" hidden="0" customWidth="1"/>
    <x:col min="8" max="8" width="22" hidden="0" customWidth="1"/>
    <x:col min="9" max="9" width="3" hidden="0" customWidth="1"/>
    <x:col min="10" max="10" width="17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2">
      <x:c r="A2" s="38" t="str">
        <x:v>NASA evidence snapshot: Bangladesh</x:v>
      </x:c>
    </x:row>
    <x:row r="3">
      <x:c r="A3" s="39" t="str">
        <x:v>Exploratory NASA POWER results previously calculated by the team; not a validated Landsat river-change dataset.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5" ht="34" customHeight="1">
      <x:c r="A5" s="44" t="str">
        <x:v>Location</x:v>
      </x:c>
      <x:c r="B5" s="44" t="str">
        <x:v>2024 mean T2M (°C)</x:v>
      </x:c>
      <x:c r="C5" s="44" t="str">
        <x:v>2024 precipitation (mm)</x:v>
      </x:c>
      <x:c r="D5" s="44" t="str">
        <x:v>September slope (°C/decade)</x:v>
      </x:c>
      <x:c r="E5" s="44" t="str">
        <x:v>Mann-Kendall p</x:v>
      </x:c>
      <x:c r="F5" s="44" t="str">
        <x:v>BH adjusted q</x:v>
      </x:c>
      <x:c r="G5" s="44" t="str">
        <x:v>95% lower (°C/decade)</x:v>
      </x:c>
      <x:c r="H5" s="44" t="str">
        <x:v>95% upper (°C/decade)</x:v>
      </x:c>
      <x:c r="J5" t="str">
        <x:v>Place</x:v>
      </x:c>
      <x:c r="K5" t="str">
        <x:v>Sep trend</x:v>
      </x:c>
    </x:row>
    <x:row r="6" ht="39" customHeight="1">
      <x:c r="A6" s="47" t="str">
        <x:v>Dhaka</x:v>
      </x:c>
      <x:c r="B6" s="63" t="n">
        <x:v>25.438032786885245</x:v>
      </x:c>
      <x:c r="C6" s="63" t="n">
        <x:v>3046.14</x:v>
      </x:c>
      <x:c r="D6" s="63" t="n">
        <x:v>0.4250000000000005</x:v>
      </x:c>
      <x:c r="E6" s="64" t="n">
        <x:v>0.00005719496341033635</x:v>
      </x:c>
      <x:c r="F6" s="64" t="n">
        <x:v>0.0013726791218480723</x:v>
      </x:c>
      <x:c r="G6" s="63" t="n">
        <x:v>0.26250000000000107</x:v>
      </x:c>
      <x:c r="H6" s="63" t="n">
        <x:v>0.5904761904761914</x:v>
      </x:c>
      <x:c r="J6" t="str">
        <x:v>Dhaka</x:v>
      </x:c>
      <x:c r="K6" t="n">
        <x:v>0.4250000000000005</x:v>
      </x:c>
    </x:row>
    <x:row r="7" ht="39" customHeight="1">
      <x:c r="A7" s="47" t="str">
        <x:v>Satkhira</x:v>
      </x:c>
      <x:c r="B7" s="63" t="n">
        <x:v>26.261803278688525</x:v>
      </x:c>
      <x:c r="C7" s="63" t="n">
        <x:v>2670.35</x:v>
      </x:c>
      <x:c r="D7" s="63" t="n">
        <x:v>0.3732142857142866</x:v>
      </x:c>
      <x:c r="E7" s="64" t="n">
        <x:v>0.00012012752652399949</x:v>
      </x:c>
      <x:c r="F7" s="64" t="n">
        <x:v>0.001922040424383992</x:v>
      </x:c>
      <x:c r="G7" s="63" t="n">
        <x:v>0.18999999999999773</x:v>
      </x:c>
      <x:c r="H7" s="63" t="n">
        <x:v>0.4923076923076927</x:v>
      </x:c>
      <x:c r="J7" t="str">
        <x:v>Satkhira</x:v>
      </x:c>
      <x:c r="K7" t="n">
        <x:v>0.3732142857142866</x:v>
      </x:c>
    </x:row>
    <x:row r="8" ht="39" customHeight="1">
      <x:c r="A8" s="47" t="str">
        <x:v>Sylhet</x:v>
      </x:c>
      <x:c r="B8" s="63" t="n">
        <x:v>24.540655737704917</x:v>
      </x:c>
      <x:c r="C8" s="63" t="n">
        <x:v>5502.86</x:v>
      </x:c>
      <x:c r="D8" s="63" t="n">
        <x:v>0.3166666666666659</x:v>
      </x:c>
      <x:c r="E8" s="64" t="n">
        <x:v>0.003988337655399615</x:v>
      </x:c>
      <x:c r="F8" s="64" t="n">
        <x:v>0.03190670124319692</x:v>
      </x:c>
      <x:c r="G8" s="63" t="n">
        <x:v>0.09285714285714468</x:v>
      </x:c>
      <x:c r="H8" s="63" t="n">
        <x:v>0.6095238095238084</x:v>
      </x:c>
      <x:c r="J8" t="str">
        <x:v>Sylhet</x:v>
      </x:c>
      <x:c r="K8" t="n">
        <x:v>0.3166666666666659</x:v>
      </x:c>
    </x:row>
    <x:row r="9" ht="39" customHeight="1">
      <x:c r="A9" s="47" t="str">
        <x:v>Bhola</x:v>
      </x:c>
      <x:c r="B9" s="63" t="n">
        <x:v>25.804125683060107</x:v>
      </x:c>
      <x:c r="C9" s="63" t="n">
        <x:v>4133.12</x:v>
      </x:c>
      <x:c r="D9" s="63" t="n">
        <x:v>0.45277777777777906</x:v>
      </x:c>
      <x:c r="E9" s="64" t="n">
        <x:v>0.000005535387760301653</x:v>
      </x:c>
      <x:c r="F9" s="64" t="n">
        <x:v>0.0002656986124944794</x:v>
      </x:c>
      <x:c r="G9" s="63" t="n">
        <x:v>0.3100000000000005</x:v>
      </x:c>
      <x:c r="H9" s="63" t="n">
        <x:v>0.5642857142857137</x:v>
      </x:c>
      <x:c r="J9" t="str">
        <x:v>Bhola</x:v>
      </x:c>
      <x:c r="K9" t="n">
        <x:v>0.45277777777777906</x:v>
      </x:c>
    </x:row>
    <x:row r="11">
      <x:c r="A11" s="65" t="str">
        <x:v>Period for slope: September 2001–2024. Method: Theil-Sen + Kendall; q adjusts 48 city-by-month tests.</x:v>
      </x:c>
      <x:c r="B11" s="65"/>
      <x:c r="C11" s="65"/>
      <x:c r="D11" s="65"/>
      <x:c r="E11" s="65"/>
      <x:c r="F11" s="65"/>
      <x:c r="G11" s="65"/>
      <x:c r="H11" s="65"/>
    </x:row>
    <x:row r="13">
      <x:c r="A13" s="66" t="str">
        <x:v>Preliminary only: independence/autocorrelation, product changes and station-level agreement still require checking.</x:v>
      </x:c>
      <x:c r="B13" s="66"/>
      <x:c r="C13" s="66"/>
      <x:c r="D13" s="66"/>
      <x:c r="E13" s="66"/>
      <x:c r="F13" s="66"/>
      <x:c r="G13" s="66"/>
      <x:c r="H13" s="66"/>
    </x:row>
    <x:row r="15">
      <x:c r="A15" s="67" t="str">
        <x:v>These positive September slopes are neither causal proof nor a unique discovery; Orion already reports Bangladesh warming.</x:v>
      </x:c>
      <x:c r="B15" s="67"/>
      <x:c r="C15" s="67"/>
      <x:c r="D15" s="67"/>
      <x:c r="E15" s="67"/>
      <x:c r="F15" s="67"/>
      <x:c r="G15" s="67"/>
      <x:c r="H15" s="67"/>
    </x:row>
    <x:row r="17">
      <x:c r="A17" t="str">
        <x:v>NASA POWER endpoint (monthly point data)</x:v>
      </x:c>
    </x:row>
    <x:row r="18">
      <x:c r="A18" t="str">
        <x:v>https://power.larc.nasa.gov/api/temporal/monthly/point</x:v>
      </x:c>
    </x:row>
    <x:row r="20">
      <x:c r="A20" t="str">
        <x:v>NASA GISTEMP global context</x:v>
      </x:c>
    </x:row>
    <x:row r="21">
      <x:c r="A21" t="str">
        <x:v>https://data.giss.nasa.gov/gistemp/</x:v>
      </x:c>
    </x:row>
    <x:row r="23">
      <x:c r="A23" s="39" t="str">
        <x:v>The complete 1,920 monthly and 160 annual place-year observations remain in the separate NASA Climate Evidence data workbook.</x:v>
      </x:c>
      <x:c r="B23" s="39"/>
      <x:c r="C23" s="39"/>
      <x:c r="D23" s="39"/>
      <x:c r="E23" s="39"/>
      <x:c r="F23" s="39"/>
      <x:c r="G23" s="39"/>
      <x:c r="H23" s="39"/>
    </x:row>
  </x:sheetData>
  <x:pageMargins left="0.7" right="0.7" top="0.75" bottom="0.75" header="0.3" footer="0.3"/>
  <x:drawing xmlns:r="http://schemas.openxmlformats.org/officeDocument/2006/relationships" r:id="R677404f407684b6c"/>
</x:worksheet>
</file>

<file path=xl/worksheets/sheet11.xml><?xml version="1.0" encoding="utf-8"?>
<x:worksheet xmlns:x="http://schemas.openxmlformats.org/spreadsheetml/2006/main">
  <x:sheetPr>
    <x:tabColor rgb="FF708A8F"/>
  </x:sheetPr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4" hidden="0" customWidth="1"/>
    <x:col min="5" max="5" width="31" hidden="0" customWidth="1"/>
    <x:col min="6" max="6" width="50" hidden="0" customWidth="1"/>
    <x:col min="7" max="7" width="54" hidden="0" customWidth="1"/>
    <x:col min="8" max="8" width="32" hidden="0" customWidth="1"/>
  </x:cols>
  <x:sheetData>
    <x:row r="2">
      <x:c r="A2" s="38" t="str">
        <x:v>Formula lab: turn imagery into defensible numbers</x:v>
      </x:c>
    </x:row>
    <x:row r="3">
      <x:c r="A3" s="39" t="str">
        <x:v>Empty result cells are intentional until observed NASA imagery counts are entered.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5" ht="34" customHeight="1">
      <x:c r="A5" s="44" t="str">
        <x:v>Land and water area calculator</x:v>
      </x:c>
      <x:c r="B5" s="44" t="str">
        <x:v>Value</x:v>
      </x:c>
      <x:c r="C5" s="44" t="str">
        <x:v>Unit / meaning</x:v>
      </x:c>
      <x:c r="E5" s="44" t="str">
        <x:v>Calculation / test</x:v>
      </x:c>
      <x:c r="F5" s="44" t="str">
        <x:v>Plain-language formula</x:v>
      </x:c>
      <x:c r="G5" s="44" t="str">
        <x:v>When we use it</x:v>
      </x:c>
      <x:c r="H5" s="44" t="str">
        <x:v>Important condition</x:v>
      </x:c>
    </x:row>
    <x:row r="6" ht="68" customHeight="1">
      <x:c r="A6" s="47" t="str">
        <x:v>Historic water-class pixels</x:v>
      </x:c>
      <x:c r="B6" s="59"/>
      <x:c r="C6" s="47" t="str">
        <x:v>Count from historic masked image</x:v>
      </x:c>
      <x:c r="E6" s="47" t="str">
        <x:v>Area per pixel</x:v>
      </x:c>
      <x:c r="F6" s="47" t="str">
        <x:v>pixel_size_m × pixel_size_m ÷ 10,000</x:v>
      </x:c>
      <x:c r="G6" s="47" t="str">
        <x:v>Convert classified pixels to hectares</x:v>
      </x:c>
      <x:c r="H6" s="47" t="str">
        <x:v>Use actual projected raster pixel area; 30 m gives 0.09 ha only where valid.</x:v>
      </x:c>
    </x:row>
    <x:row r="7" ht="68" customHeight="1">
      <x:c r="A7" s="47" t="str">
        <x:v>Recent water-class pixels</x:v>
      </x:c>
      <x:c r="B7" s="59"/>
      <x:c r="C7" s="47" t="str">
        <x:v>Count from recent masked image</x:v>
      </x:c>
      <x:c r="E7" s="48" t="str">
        <x:v>Observed area difference</x:v>
      </x:c>
      <x:c r="F7" s="48" t="str">
        <x:v>Area_recent − Area_historic</x:v>
      </x:c>
      <x:c r="G7" s="48" t="str">
        <x:v>Show increase/decrease in mapped water or vegetation</x:v>
      </x:c>
      <x:c r="H7" s="48" t="str">
        <x:v>Two dates indicate change, not a trend or cause.</x:v>
      </x:c>
    </x:row>
    <x:row r="8" ht="68" customHeight="1">
      <x:c r="A8" s="47" t="str">
        <x:v>Pixel size</x:v>
      </x:c>
      <x:c r="B8" s="76" t="n">
        <x:v>30</x:v>
      </x:c>
      <x:c r="C8" s="47" t="str">
        <x:v>Metres per side; verify sensor/product</x:v>
      </x:c>
      <x:c r="E8" s="47" t="str">
        <x:v>Percent change</x:v>
      </x:c>
      <x:c r="F8" s="47" t="str">
        <x:v>(Recent − Historic) ÷ Historic × 100</x:v>
      </x:c>
      <x:c r="G8" s="47" t="str">
        <x:v>Give intuitive magnitude</x:v>
      </x:c>
      <x:c r="H8" s="47" t="str">
        <x:v>Undefined when historic area = 0.</x:v>
      </x:c>
    </x:row>
    <x:row r="9" ht="68" customHeight="1">
      <x:c r="A9" s="47" t="str">
        <x:v>Area per pixel</x:v>
      </x:c>
      <x:c r="B9" s="77" t="n">
        <x:f>IF(ISNUMBER(B8),B8*B8/10000,"")</x:f>
        <x:v>0.09</x:v>
      </x:c>
      <x:c r="C9" s="47" t="str">
        <x:v>Hectares per pixel</x:v>
      </x:c>
      <x:c r="E9" s="48" t="str">
        <x:v>NDWI</x:v>
      </x:c>
      <x:c r="F9" s="48" t="str">
        <x:v>(Green − NIR) ÷ (Green + NIR)</x:v>
      </x:c>
      <x:c r="G9" s="48" t="str">
        <x:v>Candidate index for water pixels</x:v>
      </x:c>
      <x:c r="H9" s="48" t="str">
        <x:v>Different Landsat sensors have different band numbers; thresholds need validation.</x:v>
      </x:c>
    </x:row>
    <x:row r="10" ht="68" customHeight="1">
      <x:c r="A10" s="47" t="str">
        <x:v>Historic mapped water area</x:v>
      </x:c>
      <x:c r="B10" s="77" t="str">
        <x:f>IF(AND(ISNUMBER(B6),ISNUMBER(B9)),B6*B9,"")</x:f>
      </x:c>
      <x:c r="C10" s="47" t="str">
        <x:v>Hectares</x:v>
      </x:c>
      <x:c r="E10" s="47" t="str">
        <x:v>Mann-Kendall S</x:v>
      </x:c>
      <x:c r="F10" s="47" t="str">
        <x:v>Sum over all i&lt;j of sign(value_j − value_i)</x:v>
      </x:c>
      <x:c r="G10" s="47" t="str">
        <x:v>Test monotonic trend in time series</x:v>
      </x:c>
      <x:c r="H10" s="47" t="str">
        <x:v>Account for autocorrelation, ties, seasonality and multiple tests.</x:v>
      </x:c>
    </x:row>
    <x:row r="11" ht="68" customHeight="1">
      <x:c r="A11" s="47" t="str">
        <x:v>Recent mapped water area</x:v>
      </x:c>
      <x:c r="B11" s="77" t="str">
        <x:f>IF(AND(ISNUMBER(B7),ISNUMBER(B9)),B7*B9,"")</x:f>
      </x:c>
      <x:c r="C11" s="47" t="str">
        <x:v>Hectares</x:v>
      </x:c>
      <x:c r="E11" s="48" t="str">
        <x:v>Theil-Sen slope</x:v>
      </x:c>
      <x:c r="F11" s="48" t="str">
        <x:v>Median[(value_j − value_i)/(time_j − time_i)]</x:v>
      </x:c>
      <x:c r="G11" s="48" t="str">
        <x:v>Robust rate of change over time</x:v>
      </x:c>
      <x:c r="H11" s="48" t="str">
        <x:v>Report slope units, interval and correct monthly/annual period.</x:v>
      </x:c>
    </x:row>
    <x:row r="12" ht="68" customHeight="1">
      <x:c r="A12" s="47" t="str">
        <x:v>Observed water-area difference</x:v>
      </x:c>
      <x:c r="B12" s="77" t="str">
        <x:f>IF(AND(ISNUMBER(B10),ISNUMBER(B11)),B11-B10,"")</x:f>
      </x:c>
      <x:c r="C12" s="47" t="str">
        <x:v>Hectares</x:v>
      </x:c>
      <x:c r="E12" s="47" t="str">
        <x:v>FDR q-value</x:v>
      </x:c>
      <x:c r="F12" s="47" t="str">
        <x:v>Benjamini-Hochberg adjusted p-values</x:v>
      </x:c>
      <x:c r="G12" s="47" t="str">
        <x:v>Reduce false discoveries over many site/month tests</x:v>
      </x:c>
      <x:c r="H12" s="47" t="str">
        <x:v>q depends on the full family of tests, not a single p-value.</x:v>
      </x:c>
    </x:row>
    <x:row r="13" ht="35" customHeight="1">
      <x:c r="A13" s="47" t="str">
        <x:v>Percent area change</x:v>
      </x:c>
      <x:c r="B13" s="78" t="str">
        <x:f>IF(AND(ISNUMBER(B10),ISNUMBER(B11),B10&lt;&gt;0),(B11-B10)/B10,"")</x:f>
      </x:c>
      <x:c r="C13" s="47" t="str">
        <x:v>Compared with historic mapped area</x:v>
      </x:c>
    </x:row>
    <x:row r="14" ht="35" customHeight="1">
      <x:c r="A14" s="47" t="str">
        <x:v>Validation note</x:v>
      </x:c>
      <x:c r="B14" s="47" t="str">
        <x:v>Pending</x:v>
      </x:c>
      <x:c r="C14" s="47" t="str">
        <x:v>Use matched season, clouds, tide and sampling QA</x:v>
      </x:c>
    </x:row>
    <x:row r="15">
      <x:c r="E15" s="87" t="str">
        <x:v>Formula guardrails</x:v>
      </x:c>
    </x:row>
    <x:row r="16" ht="54" customHeight="1">
      <x:c r="A16" s="44" t="str">
        <x:v>NDWI index example</x:v>
      </x:c>
      <x:c r="B16" s="44" t="str">
        <x:v>Value</x:v>
      </x:c>
      <x:c r="C16" s="44" t="str">
        <x:v>Definition</x:v>
      </x:c>
      <x:c r="E16" s="88" t="str">
        <x:v>Never turn missing pixels into zero. Check cloud mask, image alignment, dates, tide/season, class accuracy and independent corroboration.</x:v>
      </x:c>
      <x:c r="F16" s="88"/>
      <x:c r="G16" s="88"/>
      <x:c r="H16" s="88"/>
    </x:row>
    <x:row r="17" ht="34" customHeight="1">
      <x:c r="A17" s="47" t="str">
        <x:v>Green reflectance</x:v>
      </x:c>
      <x:c r="B17" s="59"/>
      <x:c r="C17" s="47" t="str">
        <x:v>Input for same pixel/date</x:v>
      </x:c>
    </x:row>
    <x:row r="18" ht="34" customHeight="1">
      <x:c r="A18" s="47" t="str">
        <x:v>NIR reflectance</x:v>
      </x:c>
      <x:c r="B18" s="59"/>
      <x:c r="C18" s="47" t="str">
        <x:v>Input for same pixel/date</x:v>
      </x:c>
      <x:c r="E18" s="89" t="str">
        <x:v>Sensible demo output</x:v>
      </x:c>
    </x:row>
    <x:row r="19" ht="63" customHeight="1">
      <x:c r="A19" s="47" t="str">
        <x:v>NDWI</x:v>
      </x:c>
      <x:c r="B19" s="86" t="str">
        <x:f>IF(AND(ISNUMBER(B17),ISNUMBER(B18),B17+B18&lt;&gt;0),(B17-B18)/(B17+B18),"")</x:f>
      </x:c>
      <x:c r="C19" s="47" t="str">
        <x:v>(Green − NIR) / (Green + NIR)</x:v>
      </x:c>
      <x:c r="E19" s="88" t="str">
        <x:v>“Within this mapped area, classified water changed by X hectares between these dates. This is an observed map change; causes need further study.”</x:v>
      </x:c>
      <x:c r="F19" s="88"/>
      <x:c r="G19" s="88"/>
      <x:c r="H19" s="88"/>
    </x:row>
    <x:row r="22">
      <x:c r="A22" s="39" t="str">
        <x:v>Input cells are amber. Results are teal and remain blank until required observations are entered.</x:v>
      </x:c>
      <x:c r="B22" s="39"/>
      <x:c r="C22" s="39"/>
    </x:row>
  </x:sheetData>
  <x:pageMargins left="0.7" right="0.7" top="0.75" bottom="0.75" header="0.3" footer="0.3"/>
</x:worksheet>
</file>